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38640" windowHeight="21240" activeTab="1"/>
  </bookViews>
  <sheets>
    <sheet name="#Enum" sheetId="1" r:id="rId1"/>
    <sheet name="#Equipment" sheetId="2" r:id="rId2"/>
    <sheet name="#EquipOption" sheetId="3" r:id="rId3"/>
    <sheet name="#EquipQuality" sheetId="7" r:id="rId4"/>
    <sheet name="#EquipGradeWeight" sheetId="9" r:id="rId5"/>
  </sheets>
  <calcPr calcId="145621"/>
</workbook>
</file>

<file path=xl/calcChain.xml><?xml version="1.0" encoding="utf-8"?>
<calcChain xmlns="http://schemas.openxmlformats.org/spreadsheetml/2006/main">
  <c r="F8" i="7" l="1"/>
  <c r="F7" i="7"/>
  <c r="F6" i="7"/>
  <c r="F5" i="7"/>
  <c r="F4" i="7"/>
</calcChain>
</file>

<file path=xl/sharedStrings.xml><?xml version="1.0" encoding="utf-8"?>
<sst xmlns="http://schemas.openxmlformats.org/spreadsheetml/2006/main" count="500" uniqueCount="89">
  <si>
    <t>!Enum</t>
  </si>
  <si>
    <t>Weapon</t>
  </si>
  <si>
    <t>Helmet</t>
  </si>
  <si>
    <t>Armor</t>
  </si>
  <si>
    <t>Gloves</t>
  </si>
  <si>
    <t>Boots</t>
  </si>
  <si>
    <t>Ring</t>
  </si>
  <si>
    <t>Amulet</t>
  </si>
  <si>
    <t>Relic</t>
  </si>
  <si>
    <t>WeaponType</t>
  </si>
  <si>
    <t>!Table</t>
  </si>
  <si>
    <t>Equipment</t>
  </si>
  <si>
    <t>!ID</t>
  </si>
  <si>
    <t>EquipSlotType</t>
  </si>
  <si>
    <t>MaxGrade</t>
  </si>
  <si>
    <t>EquipOptionGroupID</t>
  </si>
  <si>
    <t>!int</t>
  </si>
  <si>
    <t>!EquipSlotTypes</t>
  </si>
  <si>
    <t>!WeaponType</t>
  </si>
  <si>
    <t>!ItemGradeType</t>
  </si>
  <si>
    <t>!string</t>
  </si>
  <si>
    <t>Mythic</t>
  </si>
  <si>
    <t>EquipOption</t>
  </si>
  <si>
    <t>GroupID</t>
  </si>
  <si>
    <t>ItemGrade</t>
  </si>
  <si>
    <t>Opt1_ID</t>
  </si>
  <si>
    <t>Opt1_Val</t>
  </si>
  <si>
    <t>Opt1_Step</t>
  </si>
  <si>
    <t>Opt2_ID</t>
  </si>
  <si>
    <t>Opt2_Val</t>
  </si>
  <si>
    <t>Opt2_Step</t>
  </si>
  <si>
    <t>Opt3_ID</t>
  </si>
  <si>
    <t>Opt3_Val</t>
  </si>
  <si>
    <t>Opt3_Step</t>
  </si>
  <si>
    <t>Opt4_ID</t>
  </si>
  <si>
    <t>Opt4_Val</t>
  </si>
  <si>
    <t>Opt4_Step</t>
  </si>
  <si>
    <t>UnlockOpt_ID</t>
  </si>
  <si>
    <t>UnlockOpt_MinVal</t>
  </si>
  <si>
    <t>UnlockOpt_MaxVal</t>
  </si>
  <si>
    <t>!Option</t>
  </si>
  <si>
    <t>!float</t>
  </si>
  <si>
    <t>Normal</t>
  </si>
  <si>
    <t>OPT_ATK_ADD</t>
  </si>
  <si>
    <t>OPT_MELEE_DAMAGE_BONUS_ADD</t>
  </si>
  <si>
    <t>Magic</t>
  </si>
  <si>
    <t>OPT_ATK_SPEED_ADD</t>
  </si>
  <si>
    <t>Rare</t>
  </si>
  <si>
    <t>OPT_CRIT_RATE_ADD</t>
  </si>
  <si>
    <t>Epic</t>
  </si>
  <si>
    <t>OPT_CRIT_DAMAGE_ADD</t>
  </si>
  <si>
    <t>Legendary</t>
  </si>
  <si>
    <t>OPT_DAMAGE_BONUS_ADD</t>
  </si>
  <si>
    <t>OPT_FINAL_DAMAGE_AMP_ADD</t>
  </si>
  <si>
    <t>OPT_RANGE_DAMAGE_BONUS_ADD</t>
  </si>
  <si>
    <t>OPT_MAX_HP_ADD</t>
  </si>
  <si>
    <t>OPT_DEF_ADD</t>
  </si>
  <si>
    <t>OPT_MOVE_SPEED_ADD</t>
  </si>
  <si>
    <t>EquipQuality</t>
  </si>
  <si>
    <t>MinValue</t>
  </si>
  <si>
    <t>MaxValue</t>
  </si>
  <si>
    <t>AssignWeight</t>
  </si>
  <si>
    <t>CalcRate</t>
  </si>
  <si>
    <t>EquipGradeWeight</t>
  </si>
  <si>
    <t>Desc</t>
  </si>
  <si>
    <t>필드 - 초반</t>
  </si>
  <si>
    <t>필드 - 중반</t>
  </si>
  <si>
    <t>필드 - 후반</t>
  </si>
  <si>
    <t>보스 - 초반</t>
  </si>
  <si>
    <t>보스 - 중반</t>
  </si>
  <si>
    <t>보스 - 후반</t>
  </si>
  <si>
    <t>던전 - 최상위</t>
  </si>
  <si>
    <t>상자 - 일반 (일반~희귀)</t>
  </si>
  <si>
    <t>상자 - 고급 (고급~영웅)</t>
  </si>
  <si>
    <t>상자 - 최고급 (희귀~전설)</t>
  </si>
  <si>
    <t>WeaponType</t>
    <phoneticPr fontId="7" type="noConversion"/>
  </si>
  <si>
    <t>EquipSlotTypes</t>
    <phoneticPr fontId="7" type="noConversion"/>
  </si>
  <si>
    <t>GreatSword</t>
    <phoneticPr fontId="7" type="noConversion"/>
  </si>
  <si>
    <t>Blade</t>
    <phoneticPr fontId="7" type="noConversion"/>
  </si>
  <si>
    <t>Pistol</t>
    <phoneticPr fontId="7" type="noConversion"/>
  </si>
  <si>
    <t>Rifle</t>
    <phoneticPr fontId="7" type="noConversion"/>
  </si>
  <si>
    <t>Model</t>
    <phoneticPr fontId="7" type="noConversion"/>
  </si>
  <si>
    <t>Weapon_GreatSword_01</t>
    <phoneticPr fontId="7" type="noConversion"/>
  </si>
  <si>
    <t>Blade</t>
    <phoneticPr fontId="7" type="noConversion"/>
  </si>
  <si>
    <t>Weapon_Blade_01</t>
    <phoneticPr fontId="7" type="noConversion"/>
  </si>
  <si>
    <t>Pistol</t>
    <phoneticPr fontId="7" type="noConversion"/>
  </si>
  <si>
    <t>Weapon_Pistol_01</t>
    <phoneticPr fontId="7" type="noConversion"/>
  </si>
  <si>
    <t>Rifle</t>
    <phoneticPr fontId="7" type="noConversion"/>
  </si>
  <si>
    <t>Weapon_Rifle_01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</si>
</sst>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3" borderId="0">
      <alignment vertical="center"/>
    </xf>
    <xf numFmtId="0" fontId="8" fillId="0" borderId="0"/>
    <xf numFmtId="0" fontId="10" fillId="4" borderId="0">
      <alignment vertical="center"/>
    </xf>
  </cellStyleXfs>
  <cellXfs count="24">
    <xf numFmtId="0" fontId="0" fillId="0" borderId="0" xfId="0"/>
    <xf numFmtId="0" fontId="0" fillId="2" borderId="3" xfId="0" applyFill="1" applyBorder="1" applyAlignment="1">
      <alignment vertical="center"/>
    </xf>
    <xf numFmtId="0" fontId="6" fillId="3" borderId="1" xfId="1" applyBorder="1" applyAlignment="1">
      <alignment vertical="center"/>
    </xf>
    <xf numFmtId="0" fontId="6" fillId="3" borderId="4" xfId="1" applyBorder="1" applyAlignment="1">
      <alignment vertical="center"/>
    </xf>
    <xf numFmtId="0" fontId="6" fillId="3" borderId="5" xfId="1" applyBorder="1" applyAlignment="1">
      <alignment vertical="center"/>
    </xf>
    <xf numFmtId="0" fontId="6" fillId="3" borderId="2" xfId="1" applyBorder="1" applyAlignment="1"/>
    <xf numFmtId="0" fontId="8" fillId="0" borderId="0" xfId="2" applyAlignment="1">
      <alignment vertical="center"/>
    </xf>
    <xf numFmtId="0" fontId="0" fillId="0" borderId="0" xfId="2" applyFont="1" applyAlignment="1">
      <alignment vertical="center"/>
    </xf>
    <xf numFmtId="0" fontId="6" fillId="3" borderId="2" xfId="1" applyBorder="1" applyAlignment="1">
      <alignment vertical="center"/>
    </xf>
    <xf numFmtId="0" fontId="5" fillId="3" borderId="1" xfId="1" applyFont="1" applyBorder="1" applyAlignment="1">
      <alignment vertical="center"/>
    </xf>
    <xf numFmtId="0" fontId="0" fillId="0" borderId="0" xfId="0" applyAlignment="1">
      <alignment vertical="center"/>
    </xf>
    <xf numFmtId="0" fontId="4" fillId="3" borderId="1" xfId="1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2" applyFont="1" applyAlignment="1">
      <alignment horizontal="left" vertical="center"/>
    </xf>
    <xf numFmtId="0" fontId="4" fillId="3" borderId="1" xfId="1" applyFont="1" applyBorder="1" applyAlignment="1">
      <alignment horizontal="left" vertical="center"/>
    </xf>
    <xf numFmtId="0" fontId="8" fillId="0" borderId="0" xfId="2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3" applyFont="1" applyFill="1" applyAlignment="1">
      <alignment vertical="center"/>
    </xf>
    <xf numFmtId="0" fontId="3" fillId="3" borderId="1" xfId="1" applyFont="1" applyBorder="1" applyAlignment="1">
      <alignment vertical="center"/>
    </xf>
    <xf numFmtId="0" fontId="3" fillId="3" borderId="5" xfId="1" applyFont="1" applyBorder="1" applyAlignment="1">
      <alignment vertical="center"/>
    </xf>
    <xf numFmtId="0" fontId="2" fillId="0" borderId="0" xfId="3" applyFont="1" applyFill="1" applyAlignment="1">
      <alignment vertical="center"/>
    </xf>
    <xf numFmtId="0" fontId="1" fillId="3" borderId="1" xfId="1" applyFont="1" applyBorder="1" applyAlignment="1">
      <alignment horizontal="left" vertical="center"/>
    </xf>
  </cellXfs>
  <cellStyles count="4">
    <cellStyle name="40% - 강조색3" xfId="1" builtinId="39"/>
    <cellStyle name="좋음" xfId="3" builtinId="2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22" sqref="B22"/>
    </sheetView>
  </sheetViews>
  <sheetFormatPr defaultColWidth="9" defaultRowHeight="16.5" x14ac:dyDescent="0.3"/>
  <cols>
    <col min="1" max="1" width="11.625" style="8" bestFit="1" customWidth="1"/>
    <col min="2" max="2" width="20.125" style="10" customWidth="1"/>
    <col min="3" max="3" width="21.125" style="14" bestFit="1" customWidth="1"/>
    <col min="4" max="4" width="21.125" style="10" bestFit="1" customWidth="1"/>
    <col min="5" max="5" width="34.75" style="10" bestFit="1" customWidth="1"/>
    <col min="6" max="6" width="14.75" style="10" bestFit="1" customWidth="1"/>
    <col min="7" max="7" width="18.125" style="10" bestFit="1" customWidth="1"/>
    <col min="8" max="8" width="9" style="10" customWidth="1"/>
    <col min="9" max="16384" width="9" style="10"/>
  </cols>
  <sheetData>
    <row r="1" spans="1:3" s="1" customFormat="1" x14ac:dyDescent="0.3">
      <c r="A1" s="3" t="s">
        <v>0</v>
      </c>
      <c r="B1" s="1" t="s">
        <v>76</v>
      </c>
      <c r="C1" s="13"/>
    </row>
    <row r="2" spans="1:3" x14ac:dyDescent="0.3">
      <c r="B2" s="10" t="s">
        <v>1</v>
      </c>
    </row>
    <row r="3" spans="1:3" x14ac:dyDescent="0.3">
      <c r="B3" s="10" t="s">
        <v>2</v>
      </c>
    </row>
    <row r="4" spans="1:3" x14ac:dyDescent="0.3">
      <c r="B4" s="10" t="s">
        <v>3</v>
      </c>
      <c r="C4" s="10"/>
    </row>
    <row r="5" spans="1:3" x14ac:dyDescent="0.3">
      <c r="B5" t="s">
        <v>4</v>
      </c>
      <c r="C5" s="10"/>
    </row>
    <row r="6" spans="1:3" x14ac:dyDescent="0.3">
      <c r="B6" s="10" t="s">
        <v>5</v>
      </c>
      <c r="C6" s="10"/>
    </row>
    <row r="7" spans="1:3" x14ac:dyDescent="0.3">
      <c r="B7" s="10" t="s">
        <v>6</v>
      </c>
      <c r="C7" s="10"/>
    </row>
    <row r="8" spans="1:3" x14ac:dyDescent="0.3">
      <c r="B8" s="10" t="s">
        <v>7</v>
      </c>
    </row>
    <row r="9" spans="1:3" x14ac:dyDescent="0.3">
      <c r="B9" s="10" t="s">
        <v>8</v>
      </c>
    </row>
    <row r="11" spans="1:3" s="1" customFormat="1" x14ac:dyDescent="0.3">
      <c r="A11" s="3" t="s">
        <v>0</v>
      </c>
      <c r="B11" s="1" t="s">
        <v>75</v>
      </c>
      <c r="C11" s="13"/>
    </row>
    <row r="12" spans="1:3" x14ac:dyDescent="0.3">
      <c r="B12" s="10" t="s">
        <v>77</v>
      </c>
    </row>
    <row r="13" spans="1:3" x14ac:dyDescent="0.3">
      <c r="B13" s="10" t="s">
        <v>78</v>
      </c>
    </row>
    <row r="14" spans="1:3" x14ac:dyDescent="0.3">
      <c r="B14" s="10" t="s">
        <v>79</v>
      </c>
    </row>
    <row r="15" spans="1:3" x14ac:dyDescent="0.3">
      <c r="B15" s="10" t="s">
        <v>80</v>
      </c>
    </row>
    <row r="17" spans="3:3" x14ac:dyDescent="0.3">
      <c r="C17" s="10"/>
    </row>
    <row r="18" spans="3:3" x14ac:dyDescent="0.3">
      <c r="C18" s="10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1" sqref="G11"/>
    </sheetView>
  </sheetViews>
  <sheetFormatPr defaultRowHeight="16.5" x14ac:dyDescent="0.3"/>
  <cols>
    <col min="1" max="1" width="9" style="8" customWidth="1"/>
    <col min="2" max="2" width="11.625" style="18" bestFit="1" customWidth="1"/>
    <col min="3" max="3" width="15.375" style="18" bestFit="1" customWidth="1"/>
    <col min="4" max="4" width="19.75" style="10" bestFit="1" customWidth="1"/>
    <col min="5" max="5" width="16.25" style="10" bestFit="1" customWidth="1"/>
    <col min="6" max="6" width="20.625" style="10" bestFit="1" customWidth="1"/>
    <col min="7" max="7" width="23.25" style="10" bestFit="1" customWidth="1"/>
    <col min="8" max="8" width="13.75" style="10" bestFit="1" customWidth="1"/>
    <col min="9" max="9" width="17.125" style="10" bestFit="1" customWidth="1"/>
    <col min="10" max="10" width="13.75" style="10" bestFit="1" customWidth="1"/>
    <col min="11" max="11" width="15.5" style="10" bestFit="1" customWidth="1"/>
    <col min="12" max="12" width="18.875" style="10" customWidth="1"/>
    <col min="13" max="13" width="23" style="10" bestFit="1" customWidth="1"/>
    <col min="14" max="14" width="35.125" style="10" bestFit="1" customWidth="1"/>
    <col min="15" max="15" width="18.375" style="10" bestFit="1" customWidth="1"/>
    <col min="16" max="16" width="9" style="10" customWidth="1"/>
    <col min="17" max="16384" width="9" style="10"/>
  </cols>
  <sheetData>
    <row r="1" spans="1:15" s="2" customFormat="1" x14ac:dyDescent="0.3">
      <c r="A1" s="4" t="s">
        <v>10</v>
      </c>
      <c r="B1" s="16" t="s">
        <v>11</v>
      </c>
      <c r="C1" s="16"/>
      <c r="D1" s="11"/>
      <c r="E1" s="11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5"/>
      <c r="B2" s="17" t="s">
        <v>12</v>
      </c>
      <c r="C2" s="15" t="s">
        <v>13</v>
      </c>
      <c r="D2" s="7" t="s">
        <v>9</v>
      </c>
      <c r="E2" s="19" t="s">
        <v>14</v>
      </c>
      <c r="F2" s="10" t="s">
        <v>15</v>
      </c>
      <c r="G2" s="10" t="s">
        <v>81</v>
      </c>
      <c r="I2" s="7"/>
      <c r="L2" s="7"/>
      <c r="M2" s="7"/>
      <c r="O2" s="7"/>
    </row>
    <row r="3" spans="1:15" x14ac:dyDescent="0.3">
      <c r="A3" s="5"/>
      <c r="B3" s="15" t="s">
        <v>16</v>
      </c>
      <c r="C3" s="15" t="s">
        <v>17</v>
      </c>
      <c r="D3" s="7" t="s">
        <v>18</v>
      </c>
      <c r="E3" s="22" t="s">
        <v>19</v>
      </c>
      <c r="F3" s="10" t="s">
        <v>16</v>
      </c>
      <c r="G3" s="7" t="s">
        <v>20</v>
      </c>
      <c r="H3" s="7"/>
      <c r="I3" s="7"/>
      <c r="J3" s="7"/>
      <c r="L3" s="7"/>
      <c r="M3" s="7"/>
      <c r="O3" s="7"/>
    </row>
    <row r="4" spans="1:15" x14ac:dyDescent="0.3">
      <c r="A4" s="5"/>
      <c r="B4" s="10">
        <v>1010101001</v>
      </c>
      <c r="C4" s="10" t="s">
        <v>1</v>
      </c>
      <c r="D4" s="10" t="s">
        <v>77</v>
      </c>
      <c r="E4" s="10" t="s">
        <v>21</v>
      </c>
      <c r="F4" s="10">
        <v>1010101001</v>
      </c>
      <c r="G4" s="10" t="s">
        <v>82</v>
      </c>
      <c r="J4" s="7"/>
      <c r="L4" s="7"/>
      <c r="M4" s="7"/>
      <c r="O4" s="7"/>
    </row>
    <row r="5" spans="1:15" x14ac:dyDescent="0.3">
      <c r="A5" s="5"/>
      <c r="B5" s="10">
        <v>1010101002</v>
      </c>
      <c r="C5" s="10" t="s">
        <v>1</v>
      </c>
      <c r="D5" s="10" t="s">
        <v>83</v>
      </c>
      <c r="E5" s="10" t="s">
        <v>21</v>
      </c>
      <c r="F5" s="10">
        <v>1010101002</v>
      </c>
      <c r="G5" s="10" t="s">
        <v>84</v>
      </c>
      <c r="J5" s="7"/>
      <c r="L5" s="7"/>
      <c r="M5" s="7"/>
      <c r="O5" s="7"/>
    </row>
    <row r="6" spans="1:15" x14ac:dyDescent="0.3">
      <c r="A6" s="5"/>
      <c r="B6" s="10">
        <v>1010101003</v>
      </c>
      <c r="C6" s="10" t="s">
        <v>1</v>
      </c>
      <c r="D6" s="10" t="s">
        <v>85</v>
      </c>
      <c r="E6" s="10" t="s">
        <v>21</v>
      </c>
      <c r="F6" s="10">
        <v>1010101003</v>
      </c>
      <c r="G6" s="10" t="s">
        <v>86</v>
      </c>
      <c r="J6" s="7"/>
      <c r="L6" s="7"/>
      <c r="M6" s="7"/>
      <c r="O6" s="7"/>
    </row>
    <row r="7" spans="1:15" x14ac:dyDescent="0.3">
      <c r="A7" s="5"/>
      <c r="B7" s="10">
        <v>1010101004</v>
      </c>
      <c r="C7" s="10" t="s">
        <v>1</v>
      </c>
      <c r="D7" s="10" t="s">
        <v>87</v>
      </c>
      <c r="E7" s="10" t="s">
        <v>21</v>
      </c>
      <c r="F7" s="10">
        <v>1010101004</v>
      </c>
      <c r="G7" s="10" t="s">
        <v>88</v>
      </c>
      <c r="J7" s="7"/>
      <c r="L7" s="7"/>
      <c r="M7" s="7"/>
      <c r="O7" s="7"/>
    </row>
    <row r="8" spans="1:15" x14ac:dyDescent="0.3">
      <c r="A8" s="5"/>
      <c r="B8" s="10">
        <v>1010202001</v>
      </c>
      <c r="C8" s="10" t="s">
        <v>2</v>
      </c>
      <c r="E8" s="10" t="s">
        <v>21</v>
      </c>
      <c r="F8" s="10">
        <v>1010202001</v>
      </c>
      <c r="I8" s="7"/>
      <c r="J8" s="7"/>
      <c r="L8" s="7"/>
      <c r="M8" s="7"/>
      <c r="O8" s="7"/>
    </row>
    <row r="9" spans="1:15" x14ac:dyDescent="0.3">
      <c r="A9" s="5"/>
      <c r="B9" s="10">
        <v>1010202002</v>
      </c>
      <c r="C9" s="10" t="s">
        <v>2</v>
      </c>
      <c r="E9" s="10" t="s">
        <v>21</v>
      </c>
      <c r="F9" s="10">
        <v>1010202002</v>
      </c>
      <c r="I9" s="7"/>
      <c r="J9" s="7"/>
      <c r="L9" s="7"/>
      <c r="M9" s="7"/>
      <c r="O9" s="7"/>
    </row>
    <row r="10" spans="1:15" x14ac:dyDescent="0.3">
      <c r="A10" s="5"/>
      <c r="B10" s="10">
        <v>1010203001</v>
      </c>
      <c r="C10" s="10" t="s">
        <v>3</v>
      </c>
      <c r="E10" s="10" t="s">
        <v>21</v>
      </c>
      <c r="F10" s="10">
        <v>1010203001</v>
      </c>
      <c r="I10" s="7"/>
      <c r="J10" s="7"/>
      <c r="L10" s="7"/>
      <c r="M10" s="7"/>
      <c r="O10" s="7"/>
    </row>
    <row r="11" spans="1:15" x14ac:dyDescent="0.3">
      <c r="A11" s="5"/>
      <c r="B11" s="10">
        <v>1010203002</v>
      </c>
      <c r="C11" s="10" t="s">
        <v>3</v>
      </c>
      <c r="E11" s="10" t="s">
        <v>21</v>
      </c>
      <c r="F11" s="10">
        <v>1010203002</v>
      </c>
      <c r="I11" s="7"/>
      <c r="J11" s="7"/>
      <c r="L11" s="7"/>
      <c r="M11" s="7"/>
      <c r="O11" s="7"/>
    </row>
    <row r="12" spans="1:15" x14ac:dyDescent="0.3">
      <c r="A12" s="5"/>
      <c r="B12" s="10">
        <v>1010204001</v>
      </c>
      <c r="C12" t="s">
        <v>4</v>
      </c>
      <c r="E12" s="10" t="s">
        <v>21</v>
      </c>
      <c r="F12" s="10">
        <v>1010204001</v>
      </c>
      <c r="I12" s="7"/>
      <c r="J12" s="7"/>
      <c r="L12" s="7"/>
      <c r="M12" s="7"/>
      <c r="O12" s="7"/>
    </row>
    <row r="13" spans="1:15" x14ac:dyDescent="0.3">
      <c r="A13" s="5"/>
      <c r="B13" s="10">
        <v>1010204002</v>
      </c>
      <c r="C13" t="s">
        <v>4</v>
      </c>
      <c r="E13" s="10" t="s">
        <v>21</v>
      </c>
      <c r="F13" s="10">
        <v>1010204002</v>
      </c>
      <c r="I13" s="7"/>
      <c r="J13" s="7"/>
      <c r="L13" s="7"/>
      <c r="M13" s="7"/>
      <c r="O13" s="7"/>
    </row>
    <row r="14" spans="1:15" x14ac:dyDescent="0.3">
      <c r="A14" s="5"/>
      <c r="B14" s="10">
        <v>1010205001</v>
      </c>
      <c r="C14" s="10" t="s">
        <v>5</v>
      </c>
      <c r="E14" s="10" t="s">
        <v>21</v>
      </c>
      <c r="F14" s="10">
        <v>1010205001</v>
      </c>
      <c r="I14" s="7"/>
      <c r="J14" s="7"/>
      <c r="L14" s="7"/>
      <c r="M14" s="7"/>
      <c r="O14" s="7"/>
    </row>
    <row r="15" spans="1:15" x14ac:dyDescent="0.3">
      <c r="A15" s="5"/>
      <c r="B15" s="10">
        <v>1010205002</v>
      </c>
      <c r="C15" s="10" t="s">
        <v>5</v>
      </c>
      <c r="E15" s="10" t="s">
        <v>21</v>
      </c>
      <c r="F15" s="10">
        <v>1010205002</v>
      </c>
      <c r="I15" s="7"/>
      <c r="J15" s="7"/>
      <c r="L15" s="7"/>
      <c r="M15" s="7"/>
      <c r="O15" s="7"/>
    </row>
    <row r="16" spans="1:15" x14ac:dyDescent="0.3">
      <c r="A16" s="5"/>
      <c r="B16" s="10">
        <v>1010306001</v>
      </c>
      <c r="C16" s="10" t="s">
        <v>6</v>
      </c>
      <c r="E16" s="10" t="s">
        <v>21</v>
      </c>
      <c r="F16" s="10">
        <v>1010306001</v>
      </c>
      <c r="I16" s="7"/>
      <c r="J16" s="7"/>
      <c r="L16" s="7"/>
      <c r="M16" s="7"/>
      <c r="O16" s="7"/>
    </row>
    <row r="17" spans="1:15" x14ac:dyDescent="0.3">
      <c r="A17" s="5"/>
      <c r="B17" s="10">
        <v>1010306002</v>
      </c>
      <c r="C17" s="10" t="s">
        <v>6</v>
      </c>
      <c r="E17" s="10" t="s">
        <v>21</v>
      </c>
      <c r="F17" s="10">
        <v>1010306002</v>
      </c>
      <c r="I17" s="7"/>
      <c r="J17" s="7"/>
      <c r="L17" s="7"/>
      <c r="M17" s="7"/>
      <c r="O17" s="7"/>
    </row>
    <row r="18" spans="1:15" x14ac:dyDescent="0.3">
      <c r="A18" s="5"/>
      <c r="B18" s="10">
        <v>1010307001</v>
      </c>
      <c r="C18" s="10" t="s">
        <v>7</v>
      </c>
      <c r="E18" s="10" t="s">
        <v>21</v>
      </c>
      <c r="F18" s="10">
        <v>1010307001</v>
      </c>
      <c r="I18" s="7"/>
      <c r="J18" s="7"/>
      <c r="L18" s="7"/>
      <c r="M18" s="7"/>
      <c r="O18" s="7"/>
    </row>
    <row r="19" spans="1:15" x14ac:dyDescent="0.3">
      <c r="A19" s="5"/>
      <c r="B19" s="10">
        <v>1010307002</v>
      </c>
      <c r="C19" s="10" t="s">
        <v>7</v>
      </c>
      <c r="E19" s="10" t="s">
        <v>21</v>
      </c>
      <c r="F19" s="10">
        <v>1010307002</v>
      </c>
      <c r="I19" s="7"/>
      <c r="J19" s="7"/>
      <c r="L19" s="7"/>
      <c r="M19" s="7"/>
      <c r="O19" s="7"/>
    </row>
    <row r="20" spans="1:15" x14ac:dyDescent="0.3">
      <c r="A20" s="5"/>
      <c r="B20" s="10">
        <v>1010408001</v>
      </c>
      <c r="C20" s="10" t="s">
        <v>8</v>
      </c>
      <c r="E20" s="10" t="s">
        <v>21</v>
      </c>
      <c r="F20" s="10">
        <v>1010408001</v>
      </c>
      <c r="I20" s="7"/>
      <c r="J20" s="7"/>
      <c r="L20" s="7"/>
      <c r="M20" s="7"/>
      <c r="O20" s="7"/>
    </row>
    <row r="21" spans="1:15" x14ac:dyDescent="0.3">
      <c r="A21" s="5"/>
      <c r="B21" s="10">
        <v>1010408002</v>
      </c>
      <c r="C21" s="10" t="s">
        <v>8</v>
      </c>
      <c r="E21" s="10" t="s">
        <v>21</v>
      </c>
      <c r="F21" s="10">
        <v>1010408002</v>
      </c>
      <c r="I21" s="7"/>
      <c r="J21" s="7"/>
      <c r="L21" s="7"/>
      <c r="M21" s="7"/>
      <c r="O21" s="7"/>
    </row>
    <row r="22" spans="1:15" x14ac:dyDescent="0.3">
      <c r="A22" s="5"/>
      <c r="B22" s="10"/>
      <c r="I22" s="7"/>
      <c r="J22" s="7"/>
      <c r="L22" s="7"/>
      <c r="M22" s="7"/>
      <c r="O22" s="7"/>
    </row>
    <row r="23" spans="1:15" x14ac:dyDescent="0.3">
      <c r="A23" s="5"/>
      <c r="B23" s="10"/>
      <c r="I23" s="7"/>
      <c r="J23" s="7"/>
      <c r="L23" s="7"/>
      <c r="M23" s="7"/>
      <c r="O23" s="7"/>
    </row>
    <row r="24" spans="1:15" x14ac:dyDescent="0.3">
      <c r="A24" s="5"/>
      <c r="I24" s="7"/>
      <c r="J24" s="7"/>
      <c r="L24" s="7"/>
      <c r="M24" s="7"/>
      <c r="O24" s="7"/>
    </row>
    <row r="25" spans="1:15" x14ac:dyDescent="0.3">
      <c r="A25" s="5"/>
      <c r="I25" s="7"/>
      <c r="J25" s="7"/>
      <c r="L25" s="7"/>
      <c r="M25" s="7"/>
      <c r="O25" s="7"/>
    </row>
    <row r="26" spans="1:15" x14ac:dyDescent="0.3">
      <c r="A26" s="5"/>
      <c r="I26" s="7"/>
      <c r="J26" s="7"/>
      <c r="L26" s="7"/>
      <c r="M26" s="7"/>
      <c r="O26" s="7"/>
    </row>
    <row r="27" spans="1:15" x14ac:dyDescent="0.3">
      <c r="A27" s="5"/>
      <c r="I27" s="7"/>
      <c r="J27" s="7"/>
      <c r="L27" s="7"/>
      <c r="M27" s="7"/>
      <c r="O27" s="7"/>
    </row>
    <row r="28" spans="1:15" x14ac:dyDescent="0.3">
      <c r="A28" s="5"/>
      <c r="I28" s="7"/>
      <c r="J28" s="7"/>
      <c r="L28" s="7"/>
      <c r="M28" s="7"/>
      <c r="O28" s="7"/>
    </row>
    <row r="29" spans="1:15" x14ac:dyDescent="0.3">
      <c r="A29" s="5"/>
      <c r="I29" s="7"/>
      <c r="J29" s="7"/>
      <c r="L29" s="7"/>
      <c r="M29" s="7"/>
      <c r="O29" s="7"/>
    </row>
    <row r="30" spans="1:15" x14ac:dyDescent="0.3">
      <c r="A30" s="5"/>
      <c r="I30" s="7"/>
      <c r="J30" s="7"/>
      <c r="L30" s="7"/>
      <c r="M30" s="7"/>
      <c r="O30" s="7"/>
    </row>
    <row r="31" spans="1:15" x14ac:dyDescent="0.3">
      <c r="A31" s="5"/>
      <c r="I31" s="7"/>
      <c r="J31" s="7"/>
      <c r="L31" s="7"/>
      <c r="M31" s="7"/>
      <c r="O31" s="7"/>
    </row>
    <row r="32" spans="1:15" x14ac:dyDescent="0.3">
      <c r="A32" s="5"/>
      <c r="I32" s="7"/>
      <c r="J32" s="7"/>
      <c r="L32" s="7"/>
      <c r="M32" s="7"/>
      <c r="O32" s="7"/>
    </row>
    <row r="33" spans="1:15" x14ac:dyDescent="0.3">
      <c r="A33" s="5"/>
      <c r="I33" s="7"/>
      <c r="J33" s="7"/>
      <c r="L33" s="7"/>
      <c r="M33" s="7"/>
      <c r="O33" s="7"/>
    </row>
    <row r="34" spans="1:15" x14ac:dyDescent="0.3">
      <c r="A34" s="5"/>
      <c r="I34" s="7"/>
      <c r="J34" s="7"/>
      <c r="L34" s="7"/>
      <c r="M34" s="7"/>
      <c r="O34" s="7"/>
    </row>
    <row r="35" spans="1:15" x14ac:dyDescent="0.3">
      <c r="A35" s="5"/>
      <c r="I35" s="7"/>
      <c r="J35" s="7"/>
      <c r="L35" s="7"/>
      <c r="M35" s="7"/>
      <c r="O35" s="7"/>
    </row>
    <row r="36" spans="1:15" x14ac:dyDescent="0.3">
      <c r="A36" s="5"/>
      <c r="I36" s="7"/>
      <c r="J36" s="7"/>
      <c r="L36" s="7"/>
      <c r="M36" s="7"/>
      <c r="O36" s="7"/>
    </row>
    <row r="37" spans="1:15" x14ac:dyDescent="0.3">
      <c r="A37" s="5"/>
      <c r="I37" s="7"/>
      <c r="J37" s="7"/>
      <c r="L37" s="7"/>
      <c r="M37" s="7"/>
      <c r="O37" s="7"/>
    </row>
    <row r="38" spans="1:15" x14ac:dyDescent="0.3">
      <c r="A38" s="5"/>
      <c r="I38" s="7"/>
      <c r="J38" s="7"/>
      <c r="L38" s="7"/>
      <c r="M38" s="7"/>
      <c r="O38" s="7"/>
    </row>
    <row r="39" spans="1:15" x14ac:dyDescent="0.3">
      <c r="A39" s="5"/>
      <c r="I39" s="7"/>
      <c r="J39" s="7"/>
      <c r="L39" s="7"/>
      <c r="M39" s="7"/>
      <c r="O39" s="7"/>
    </row>
    <row r="40" spans="1:15" x14ac:dyDescent="0.3">
      <c r="A40" s="5"/>
      <c r="I40" s="7"/>
      <c r="J40" s="7"/>
      <c r="L40" s="7"/>
      <c r="M40" s="7"/>
      <c r="O40" s="7"/>
    </row>
    <row r="41" spans="1:15" x14ac:dyDescent="0.3">
      <c r="A41" s="5"/>
      <c r="I41" s="7"/>
      <c r="J41" s="7"/>
      <c r="L41" s="7"/>
      <c r="M41" s="7"/>
      <c r="O41" s="7"/>
    </row>
    <row r="42" spans="1:15" x14ac:dyDescent="0.3">
      <c r="A42" s="5"/>
      <c r="I42" s="7"/>
      <c r="J42" s="7"/>
      <c r="L42" s="7"/>
      <c r="M42" s="7"/>
      <c r="O42" s="7"/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D37" sqref="D37"/>
    </sheetView>
  </sheetViews>
  <sheetFormatPr defaultRowHeight="16.5" x14ac:dyDescent="0.3"/>
  <cols>
    <col min="1" max="1" width="9" style="8" customWidth="1"/>
    <col min="2" max="2" width="12.625" style="18" bestFit="1" customWidth="1"/>
    <col min="3" max="3" width="11.625" style="10" bestFit="1" customWidth="1"/>
    <col min="4" max="4" width="16.25" style="10" bestFit="1" customWidth="1"/>
    <col min="5" max="5" width="35.125" style="10" bestFit="1" customWidth="1"/>
    <col min="6" max="6" width="9.25" style="10" bestFit="1" customWidth="1"/>
    <col min="7" max="7" width="10.25" style="10" bestFit="1" customWidth="1"/>
    <col min="8" max="8" width="35.125" style="10" bestFit="1" customWidth="1"/>
    <col min="9" max="9" width="9.25" style="10" bestFit="1" customWidth="1"/>
    <col min="10" max="10" width="10.25" style="10" bestFit="1" customWidth="1"/>
    <col min="11" max="11" width="8.375" style="10" bestFit="1" customWidth="1"/>
    <col min="12" max="12" width="9.25" style="10" bestFit="1" customWidth="1"/>
    <col min="13" max="13" width="10.25" style="10" bestFit="1" customWidth="1"/>
    <col min="14" max="14" width="8.375" style="10" bestFit="1" customWidth="1"/>
    <col min="15" max="15" width="9.25" style="10" bestFit="1" customWidth="1"/>
    <col min="16" max="16" width="10.25" style="10" bestFit="1" customWidth="1"/>
    <col min="17" max="17" width="35.125" style="10" bestFit="1" customWidth="1"/>
    <col min="18" max="19" width="18.5" style="10" bestFit="1" customWidth="1"/>
    <col min="20" max="20" width="9" style="10" customWidth="1"/>
    <col min="21" max="16384" width="9" style="10"/>
  </cols>
  <sheetData>
    <row r="1" spans="1:19" s="2" customFormat="1" x14ac:dyDescent="0.3">
      <c r="A1" s="4" t="s">
        <v>10</v>
      </c>
      <c r="B1" s="23" t="s">
        <v>22</v>
      </c>
      <c r="C1" s="11"/>
      <c r="D1" s="11"/>
      <c r="E1" s="11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x14ac:dyDescent="0.3">
      <c r="A2" s="5"/>
      <c r="B2" s="17" t="s">
        <v>12</v>
      </c>
      <c r="C2" t="s">
        <v>23</v>
      </c>
      <c r="D2" s="7" t="s">
        <v>24</v>
      </c>
      <c r="E2" s="7" t="s">
        <v>25</v>
      </c>
      <c r="F2" s="10" t="s">
        <v>26</v>
      </c>
      <c r="G2" s="7" t="s">
        <v>27</v>
      </c>
      <c r="H2" s="7" t="s">
        <v>28</v>
      </c>
      <c r="I2" s="10" t="s">
        <v>29</v>
      </c>
      <c r="J2" s="7" t="s">
        <v>30</v>
      </c>
      <c r="K2" s="7" t="s">
        <v>31</v>
      </c>
      <c r="L2" s="10" t="s">
        <v>32</v>
      </c>
      <c r="M2" s="7" t="s">
        <v>33</v>
      </c>
      <c r="N2" s="7" t="s">
        <v>34</v>
      </c>
      <c r="O2" s="10" t="s">
        <v>35</v>
      </c>
      <c r="P2" s="7" t="s">
        <v>36</v>
      </c>
      <c r="Q2" s="7" t="s">
        <v>37</v>
      </c>
      <c r="R2" s="10" t="s">
        <v>38</v>
      </c>
      <c r="S2" s="10" t="s">
        <v>39</v>
      </c>
    </row>
    <row r="3" spans="1:19" x14ac:dyDescent="0.3">
      <c r="A3" s="5"/>
      <c r="B3" s="15" t="s">
        <v>16</v>
      </c>
      <c r="C3" t="s">
        <v>16</v>
      </c>
      <c r="D3" s="7" t="s">
        <v>19</v>
      </c>
      <c r="E3" s="7" t="s">
        <v>40</v>
      </c>
      <c r="F3" s="10" t="s">
        <v>41</v>
      </c>
      <c r="G3" s="7" t="s">
        <v>41</v>
      </c>
      <c r="H3" s="7" t="s">
        <v>40</v>
      </c>
      <c r="I3" s="10" t="s">
        <v>41</v>
      </c>
      <c r="J3" s="7" t="s">
        <v>41</v>
      </c>
      <c r="K3" s="7" t="s">
        <v>40</v>
      </c>
      <c r="L3" s="10" t="s">
        <v>41</v>
      </c>
      <c r="M3" s="7" t="s">
        <v>41</v>
      </c>
      <c r="N3" s="7" t="s">
        <v>40</v>
      </c>
      <c r="O3" s="10" t="s">
        <v>41</v>
      </c>
      <c r="P3" s="7" t="s">
        <v>41</v>
      </c>
      <c r="Q3" s="7" t="s">
        <v>40</v>
      </c>
      <c r="R3" s="10" t="s">
        <v>41</v>
      </c>
      <c r="S3" s="10" t="s">
        <v>41</v>
      </c>
    </row>
    <row r="4" spans="1:19" x14ac:dyDescent="0.3">
      <c r="A4" s="5"/>
      <c r="B4" s="10">
        <v>1</v>
      </c>
      <c r="C4" s="10">
        <v>1010101001</v>
      </c>
      <c r="D4" s="10" t="s">
        <v>42</v>
      </c>
      <c r="E4" s="10" t="s">
        <v>43</v>
      </c>
      <c r="F4" s="10">
        <v>10</v>
      </c>
      <c r="G4" s="10">
        <v>1</v>
      </c>
      <c r="H4" t="s">
        <v>44</v>
      </c>
      <c r="I4" s="10">
        <v>0.1</v>
      </c>
      <c r="J4" s="10">
        <v>0.01</v>
      </c>
      <c r="M4" s="7"/>
      <c r="N4" s="7"/>
      <c r="P4" s="7"/>
      <c r="Q4" s="10" t="s">
        <v>43</v>
      </c>
      <c r="R4" s="10">
        <v>5</v>
      </c>
      <c r="S4" s="10">
        <v>10</v>
      </c>
    </row>
    <row r="5" spans="1:19" x14ac:dyDescent="0.3">
      <c r="A5" s="5"/>
      <c r="B5" s="10">
        <v>2</v>
      </c>
      <c r="C5" s="10">
        <v>1010101001</v>
      </c>
      <c r="D5" s="10" t="s">
        <v>45</v>
      </c>
      <c r="E5" s="10" t="s">
        <v>43</v>
      </c>
      <c r="F5" s="10">
        <v>30</v>
      </c>
      <c r="G5" s="10">
        <v>1.1000000000000001</v>
      </c>
      <c r="H5" t="s">
        <v>44</v>
      </c>
      <c r="I5" s="10">
        <v>0.15</v>
      </c>
      <c r="J5" s="10">
        <v>1.2E-2</v>
      </c>
      <c r="M5" s="7"/>
      <c r="N5" s="7"/>
      <c r="P5" s="7"/>
      <c r="Q5" t="s">
        <v>46</v>
      </c>
      <c r="R5" s="10">
        <v>0.02</v>
      </c>
      <c r="S5" s="10">
        <v>0.2</v>
      </c>
    </row>
    <row r="6" spans="1:19" x14ac:dyDescent="0.3">
      <c r="A6" s="5"/>
      <c r="B6" s="10">
        <v>3</v>
      </c>
      <c r="C6" s="10">
        <v>1010101001</v>
      </c>
      <c r="D6" s="10" t="s">
        <v>47</v>
      </c>
      <c r="E6" s="10" t="s">
        <v>43</v>
      </c>
      <c r="F6" s="10">
        <v>60</v>
      </c>
      <c r="G6" s="10">
        <v>1.2</v>
      </c>
      <c r="H6" t="s">
        <v>44</v>
      </c>
      <c r="I6" s="10">
        <v>0.2</v>
      </c>
      <c r="J6" s="10">
        <v>1.4E-2</v>
      </c>
      <c r="M6" s="7"/>
      <c r="N6" s="7"/>
      <c r="P6" s="7"/>
      <c r="Q6" t="s">
        <v>48</v>
      </c>
      <c r="R6" s="10">
        <v>0.1</v>
      </c>
      <c r="S6" s="10">
        <v>0.15</v>
      </c>
    </row>
    <row r="7" spans="1:19" x14ac:dyDescent="0.3">
      <c r="A7" s="5"/>
      <c r="B7" s="10">
        <v>4</v>
      </c>
      <c r="C7" s="10">
        <v>1010101001</v>
      </c>
      <c r="D7" s="10" t="s">
        <v>49</v>
      </c>
      <c r="E7" s="10" t="s">
        <v>43</v>
      </c>
      <c r="F7" s="10">
        <v>100</v>
      </c>
      <c r="G7" s="10">
        <v>1.3</v>
      </c>
      <c r="H7" t="s">
        <v>44</v>
      </c>
      <c r="I7" s="10">
        <v>0.25</v>
      </c>
      <c r="J7" s="10">
        <v>1.6E-2</v>
      </c>
      <c r="M7" s="7"/>
      <c r="N7" s="7"/>
      <c r="P7" s="7"/>
      <c r="Q7" t="s">
        <v>50</v>
      </c>
      <c r="R7" s="10">
        <v>0.5</v>
      </c>
      <c r="S7" s="10">
        <v>1</v>
      </c>
    </row>
    <row r="8" spans="1:19" x14ac:dyDescent="0.3">
      <c r="A8" s="5"/>
      <c r="B8" s="10">
        <v>5</v>
      </c>
      <c r="C8" s="10">
        <v>1010101001</v>
      </c>
      <c r="D8" s="10" t="s">
        <v>51</v>
      </c>
      <c r="E8" s="10" t="s">
        <v>43</v>
      </c>
      <c r="F8" s="10">
        <v>150</v>
      </c>
      <c r="G8" s="10">
        <v>1.4</v>
      </c>
      <c r="H8" t="s">
        <v>44</v>
      </c>
      <c r="I8" s="10">
        <v>0.3</v>
      </c>
      <c r="J8" s="10">
        <v>1.7999999999999999E-2</v>
      </c>
      <c r="M8" s="7"/>
      <c r="N8" s="7"/>
      <c r="P8" s="7"/>
      <c r="Q8" t="s">
        <v>52</v>
      </c>
      <c r="R8" s="10">
        <v>0.1</v>
      </c>
      <c r="S8" s="10">
        <v>0.25</v>
      </c>
    </row>
    <row r="9" spans="1:19" x14ac:dyDescent="0.3">
      <c r="A9" s="5"/>
      <c r="B9" s="10">
        <v>6</v>
      </c>
      <c r="C9" s="10">
        <v>1010101001</v>
      </c>
      <c r="D9" s="10" t="s">
        <v>21</v>
      </c>
      <c r="E9" s="10" t="s">
        <v>43</v>
      </c>
      <c r="F9" s="10">
        <v>220</v>
      </c>
      <c r="G9" s="10">
        <v>1.5</v>
      </c>
      <c r="H9" t="s">
        <v>44</v>
      </c>
      <c r="I9" s="10">
        <v>0.4</v>
      </c>
      <c r="J9" s="10">
        <v>0.02</v>
      </c>
      <c r="M9" s="7"/>
      <c r="N9" s="7"/>
      <c r="P9" s="7"/>
      <c r="Q9" s="12" t="s">
        <v>53</v>
      </c>
      <c r="R9" s="10">
        <v>0.08</v>
      </c>
      <c r="S9" s="10">
        <v>0.12</v>
      </c>
    </row>
    <row r="10" spans="1:19" x14ac:dyDescent="0.3">
      <c r="A10" s="5"/>
      <c r="B10" s="10">
        <v>7</v>
      </c>
      <c r="C10" s="10">
        <v>1010101002</v>
      </c>
      <c r="D10" s="10" t="s">
        <v>42</v>
      </c>
      <c r="E10" s="10" t="s">
        <v>43</v>
      </c>
      <c r="F10" s="10">
        <v>10</v>
      </c>
      <c r="G10" s="10">
        <v>1</v>
      </c>
      <c r="H10" t="s">
        <v>44</v>
      </c>
      <c r="I10" s="10">
        <v>0.1</v>
      </c>
      <c r="J10" s="10">
        <v>0.01</v>
      </c>
      <c r="K10" s="7"/>
      <c r="M10" s="7"/>
      <c r="N10" s="7"/>
      <c r="P10" s="7"/>
      <c r="Q10" s="10" t="s">
        <v>43</v>
      </c>
      <c r="R10" s="10">
        <v>5</v>
      </c>
      <c r="S10" s="10">
        <v>10</v>
      </c>
    </row>
    <row r="11" spans="1:19" x14ac:dyDescent="0.3">
      <c r="A11" s="5"/>
      <c r="B11" s="10">
        <v>8</v>
      </c>
      <c r="C11" s="10">
        <v>1010101002</v>
      </c>
      <c r="D11" s="10" t="s">
        <v>45</v>
      </c>
      <c r="E11" s="10" t="s">
        <v>43</v>
      </c>
      <c r="F11" s="10">
        <v>30</v>
      </c>
      <c r="G11" s="10">
        <v>1.1000000000000001</v>
      </c>
      <c r="H11" t="s">
        <v>44</v>
      </c>
      <c r="I11" s="10">
        <v>0.15</v>
      </c>
      <c r="J11" s="10">
        <v>1.2E-2</v>
      </c>
      <c r="K11" s="7"/>
      <c r="M11" s="7"/>
      <c r="N11" s="7"/>
      <c r="P11" s="7"/>
      <c r="Q11" t="s">
        <v>46</v>
      </c>
      <c r="R11" s="10">
        <v>0.02</v>
      </c>
      <c r="S11" s="10">
        <v>0.2</v>
      </c>
    </row>
    <row r="12" spans="1:19" x14ac:dyDescent="0.3">
      <c r="A12" s="5"/>
      <c r="B12" s="10">
        <v>9</v>
      </c>
      <c r="C12" s="10">
        <v>1010101002</v>
      </c>
      <c r="D12" s="10" t="s">
        <v>47</v>
      </c>
      <c r="E12" s="10" t="s">
        <v>43</v>
      </c>
      <c r="F12" s="10">
        <v>60</v>
      </c>
      <c r="G12" s="10">
        <v>1.2</v>
      </c>
      <c r="H12" t="s">
        <v>44</v>
      </c>
      <c r="I12" s="10">
        <v>0.2</v>
      </c>
      <c r="J12" s="10">
        <v>1.4E-2</v>
      </c>
      <c r="K12" s="7"/>
      <c r="M12" s="7"/>
      <c r="N12" s="7"/>
      <c r="P12" s="7"/>
      <c r="Q12" t="s">
        <v>48</v>
      </c>
      <c r="R12" s="10">
        <v>0.1</v>
      </c>
      <c r="S12" s="10">
        <v>0.15</v>
      </c>
    </row>
    <row r="13" spans="1:19" x14ac:dyDescent="0.3">
      <c r="A13" s="5"/>
      <c r="B13" s="10">
        <v>10</v>
      </c>
      <c r="C13" s="10">
        <v>1010101002</v>
      </c>
      <c r="D13" s="10" t="s">
        <v>49</v>
      </c>
      <c r="E13" s="10" t="s">
        <v>43</v>
      </c>
      <c r="F13" s="10">
        <v>100</v>
      </c>
      <c r="G13" s="10">
        <v>1.3</v>
      </c>
      <c r="H13" t="s">
        <v>44</v>
      </c>
      <c r="I13" s="10">
        <v>0.25</v>
      </c>
      <c r="J13" s="10">
        <v>1.6E-2</v>
      </c>
      <c r="K13" s="7"/>
      <c r="M13" s="7"/>
      <c r="N13" s="7"/>
      <c r="P13" s="7"/>
      <c r="Q13" t="s">
        <v>50</v>
      </c>
      <c r="R13" s="10">
        <v>0.5</v>
      </c>
      <c r="S13" s="10">
        <v>1</v>
      </c>
    </row>
    <row r="14" spans="1:19" x14ac:dyDescent="0.3">
      <c r="A14" s="5"/>
      <c r="B14" s="10">
        <v>11</v>
      </c>
      <c r="C14" s="10">
        <v>1010101002</v>
      </c>
      <c r="D14" s="10" t="s">
        <v>51</v>
      </c>
      <c r="E14" s="10" t="s">
        <v>43</v>
      </c>
      <c r="F14" s="10">
        <v>150</v>
      </c>
      <c r="G14" s="10">
        <v>1.4</v>
      </c>
      <c r="H14" t="s">
        <v>44</v>
      </c>
      <c r="I14" s="10">
        <v>0.3</v>
      </c>
      <c r="J14" s="10">
        <v>1.7999999999999999E-2</v>
      </c>
      <c r="K14" s="7"/>
      <c r="M14" s="7"/>
      <c r="N14" s="7"/>
      <c r="P14" s="7"/>
      <c r="Q14" t="s">
        <v>52</v>
      </c>
      <c r="R14" s="10">
        <v>0.1</v>
      </c>
      <c r="S14" s="10">
        <v>0.25</v>
      </c>
    </row>
    <row r="15" spans="1:19" x14ac:dyDescent="0.3">
      <c r="A15" s="5"/>
      <c r="B15" s="10">
        <v>12</v>
      </c>
      <c r="C15" s="10">
        <v>1010101002</v>
      </c>
      <c r="D15" s="10" t="s">
        <v>21</v>
      </c>
      <c r="E15" s="10" t="s">
        <v>43</v>
      </c>
      <c r="F15" s="10">
        <v>220</v>
      </c>
      <c r="G15" s="10">
        <v>1.5</v>
      </c>
      <c r="H15" t="s">
        <v>44</v>
      </c>
      <c r="I15" s="10">
        <v>0.4</v>
      </c>
      <c r="J15" s="10">
        <v>0.02</v>
      </c>
      <c r="M15" s="7"/>
      <c r="N15" s="7"/>
      <c r="P15" s="7"/>
      <c r="Q15" s="12" t="s">
        <v>53</v>
      </c>
      <c r="R15" s="10">
        <v>0.08</v>
      </c>
      <c r="S15" s="10">
        <v>0.12</v>
      </c>
    </row>
    <row r="16" spans="1:19" x14ac:dyDescent="0.3">
      <c r="A16" s="5"/>
      <c r="B16" s="10">
        <v>13</v>
      </c>
      <c r="C16" s="10">
        <v>1010101003</v>
      </c>
      <c r="D16" s="10" t="s">
        <v>42</v>
      </c>
      <c r="E16" s="10" t="s">
        <v>43</v>
      </c>
      <c r="F16" s="10">
        <v>10</v>
      </c>
      <c r="G16" s="10">
        <v>1</v>
      </c>
      <c r="H16" t="s">
        <v>44</v>
      </c>
      <c r="I16" s="10">
        <v>0.1</v>
      </c>
      <c r="J16" s="10">
        <v>0.01</v>
      </c>
      <c r="M16" s="7"/>
      <c r="N16" s="7"/>
      <c r="P16" s="7"/>
      <c r="Q16" s="10" t="s">
        <v>43</v>
      </c>
      <c r="R16" s="10">
        <v>5</v>
      </c>
      <c r="S16" s="10">
        <v>10</v>
      </c>
    </row>
    <row r="17" spans="1:19" x14ac:dyDescent="0.3">
      <c r="A17" s="5"/>
      <c r="B17" s="10">
        <v>14</v>
      </c>
      <c r="C17" s="10">
        <v>1010101003</v>
      </c>
      <c r="D17" s="10" t="s">
        <v>45</v>
      </c>
      <c r="E17" s="10" t="s">
        <v>43</v>
      </c>
      <c r="F17" s="10">
        <v>30</v>
      </c>
      <c r="G17" s="10">
        <v>1.1000000000000001</v>
      </c>
      <c r="H17" t="s">
        <v>44</v>
      </c>
      <c r="I17" s="10">
        <v>0.15</v>
      </c>
      <c r="J17" s="10">
        <v>1.2E-2</v>
      </c>
      <c r="M17" s="7"/>
      <c r="N17" s="7"/>
      <c r="P17" s="7"/>
      <c r="Q17" t="s">
        <v>46</v>
      </c>
      <c r="R17" s="10">
        <v>0.02</v>
      </c>
      <c r="S17" s="10">
        <v>0.2</v>
      </c>
    </row>
    <row r="18" spans="1:19" x14ac:dyDescent="0.3">
      <c r="A18" s="5"/>
      <c r="B18" s="10">
        <v>15</v>
      </c>
      <c r="C18" s="10">
        <v>1010101003</v>
      </c>
      <c r="D18" s="10" t="s">
        <v>47</v>
      </c>
      <c r="E18" s="10" t="s">
        <v>43</v>
      </c>
      <c r="F18" s="10">
        <v>60</v>
      </c>
      <c r="G18" s="10">
        <v>1.2</v>
      </c>
      <c r="H18" t="s">
        <v>44</v>
      </c>
      <c r="I18" s="10">
        <v>0.2</v>
      </c>
      <c r="J18" s="10">
        <v>1.4E-2</v>
      </c>
      <c r="M18" s="7"/>
      <c r="N18" s="7"/>
      <c r="P18" s="7"/>
      <c r="Q18" t="s">
        <v>48</v>
      </c>
      <c r="R18" s="10">
        <v>0.1</v>
      </c>
      <c r="S18" s="10">
        <v>0.15</v>
      </c>
    </row>
    <row r="19" spans="1:19" x14ac:dyDescent="0.3">
      <c r="A19" s="5"/>
      <c r="B19" s="10">
        <v>16</v>
      </c>
      <c r="C19" s="10">
        <v>1010101003</v>
      </c>
      <c r="D19" s="10" t="s">
        <v>49</v>
      </c>
      <c r="E19" s="10" t="s">
        <v>43</v>
      </c>
      <c r="F19" s="10">
        <v>100</v>
      </c>
      <c r="G19" s="10">
        <v>1.3</v>
      </c>
      <c r="H19" t="s">
        <v>44</v>
      </c>
      <c r="I19" s="10">
        <v>0.25</v>
      </c>
      <c r="J19" s="10">
        <v>1.6E-2</v>
      </c>
      <c r="M19" s="7"/>
      <c r="N19" s="7"/>
      <c r="P19" s="7"/>
      <c r="Q19" t="s">
        <v>50</v>
      </c>
      <c r="R19" s="10">
        <v>0.5</v>
      </c>
      <c r="S19" s="10">
        <v>1</v>
      </c>
    </row>
    <row r="20" spans="1:19" x14ac:dyDescent="0.3">
      <c r="A20" s="5"/>
      <c r="B20" s="10">
        <v>17</v>
      </c>
      <c r="C20" s="10">
        <v>1010101003</v>
      </c>
      <c r="D20" s="10" t="s">
        <v>51</v>
      </c>
      <c r="E20" s="10" t="s">
        <v>43</v>
      </c>
      <c r="F20" s="10">
        <v>150</v>
      </c>
      <c r="G20" s="10">
        <v>1.4</v>
      </c>
      <c r="H20" t="s">
        <v>44</v>
      </c>
      <c r="I20" s="10">
        <v>0.3</v>
      </c>
      <c r="J20" s="10">
        <v>1.7999999999999999E-2</v>
      </c>
      <c r="K20" s="7"/>
      <c r="M20" s="7"/>
      <c r="N20" s="7"/>
      <c r="P20" s="7"/>
      <c r="Q20" t="s">
        <v>52</v>
      </c>
      <c r="R20" s="10">
        <v>0.1</v>
      </c>
      <c r="S20" s="10">
        <v>0.25</v>
      </c>
    </row>
    <row r="21" spans="1:19" x14ac:dyDescent="0.3">
      <c r="A21" s="5"/>
      <c r="B21" s="10">
        <v>18</v>
      </c>
      <c r="C21" s="10">
        <v>1010101003</v>
      </c>
      <c r="D21" s="10" t="s">
        <v>21</v>
      </c>
      <c r="E21" s="10" t="s">
        <v>43</v>
      </c>
      <c r="F21" s="10">
        <v>220</v>
      </c>
      <c r="G21" s="10">
        <v>1.5</v>
      </c>
      <c r="H21" t="s">
        <v>44</v>
      </c>
      <c r="I21" s="10">
        <v>0.4</v>
      </c>
      <c r="J21" s="10">
        <v>0.02</v>
      </c>
      <c r="K21" s="7"/>
      <c r="M21" s="7"/>
      <c r="N21" s="7"/>
      <c r="P21" s="7"/>
      <c r="Q21" s="12" t="s">
        <v>53</v>
      </c>
      <c r="R21" s="10">
        <v>0.08</v>
      </c>
      <c r="S21" s="10">
        <v>0.12</v>
      </c>
    </row>
    <row r="22" spans="1:19" x14ac:dyDescent="0.3">
      <c r="A22" s="5"/>
      <c r="B22" s="10">
        <v>19</v>
      </c>
      <c r="C22" s="10">
        <v>1010101004</v>
      </c>
      <c r="D22" s="10" t="s">
        <v>42</v>
      </c>
      <c r="E22" s="10" t="s">
        <v>43</v>
      </c>
      <c r="F22" s="10">
        <v>5</v>
      </c>
      <c r="G22" s="10">
        <v>0.5</v>
      </c>
      <c r="H22" t="s">
        <v>54</v>
      </c>
      <c r="I22" s="10">
        <v>0.1</v>
      </c>
      <c r="J22" s="10">
        <v>0.01</v>
      </c>
      <c r="K22" s="7"/>
      <c r="M22" s="7"/>
      <c r="N22" s="7"/>
      <c r="P22" s="7"/>
      <c r="Q22" s="10" t="s">
        <v>43</v>
      </c>
      <c r="R22" s="10">
        <v>5</v>
      </c>
      <c r="S22" s="10">
        <v>10</v>
      </c>
    </row>
    <row r="23" spans="1:19" x14ac:dyDescent="0.3">
      <c r="A23" s="5"/>
      <c r="B23" s="10">
        <v>20</v>
      </c>
      <c r="C23" s="10">
        <v>1010101004</v>
      </c>
      <c r="D23" s="10" t="s">
        <v>45</v>
      </c>
      <c r="E23" s="10" t="s">
        <v>43</v>
      </c>
      <c r="F23" s="10">
        <v>15</v>
      </c>
      <c r="G23" s="10">
        <v>0.5</v>
      </c>
      <c r="H23" t="s">
        <v>54</v>
      </c>
      <c r="I23" s="10">
        <v>0.15</v>
      </c>
      <c r="J23" s="10">
        <v>1.2E-2</v>
      </c>
      <c r="K23" s="7"/>
      <c r="M23" s="7"/>
      <c r="N23" s="7"/>
      <c r="P23" s="7"/>
      <c r="Q23" t="s">
        <v>46</v>
      </c>
      <c r="R23" s="10">
        <v>0.02</v>
      </c>
      <c r="S23" s="10">
        <v>0.2</v>
      </c>
    </row>
    <row r="24" spans="1:19" x14ac:dyDescent="0.3">
      <c r="A24" s="5"/>
      <c r="B24" s="10">
        <v>21</v>
      </c>
      <c r="C24" s="10">
        <v>1010101004</v>
      </c>
      <c r="D24" s="10" t="s">
        <v>47</v>
      </c>
      <c r="E24" s="10" t="s">
        <v>43</v>
      </c>
      <c r="F24" s="10">
        <v>30</v>
      </c>
      <c r="G24" s="10">
        <v>0.5</v>
      </c>
      <c r="H24" t="s">
        <v>54</v>
      </c>
      <c r="I24" s="10">
        <v>0.2</v>
      </c>
      <c r="J24" s="10">
        <v>1.4E-2</v>
      </c>
      <c r="K24" s="7"/>
      <c r="M24" s="7"/>
      <c r="N24" s="7"/>
      <c r="P24" s="7"/>
      <c r="Q24" t="s">
        <v>48</v>
      </c>
      <c r="R24" s="10">
        <v>0.1</v>
      </c>
      <c r="S24" s="10">
        <v>0.15</v>
      </c>
    </row>
    <row r="25" spans="1:19" x14ac:dyDescent="0.3">
      <c r="A25" s="5"/>
      <c r="B25" s="10">
        <v>22</v>
      </c>
      <c r="C25" s="10">
        <v>1010101004</v>
      </c>
      <c r="D25" s="10" t="s">
        <v>49</v>
      </c>
      <c r="E25" s="10" t="s">
        <v>43</v>
      </c>
      <c r="F25" s="10">
        <v>50</v>
      </c>
      <c r="G25" s="10">
        <v>0.5</v>
      </c>
      <c r="H25" t="s">
        <v>54</v>
      </c>
      <c r="I25" s="10">
        <v>0.25</v>
      </c>
      <c r="J25" s="10">
        <v>1.6E-2</v>
      </c>
      <c r="K25" s="7"/>
      <c r="M25" s="7"/>
      <c r="N25" s="7"/>
      <c r="P25" s="7"/>
      <c r="Q25" t="s">
        <v>50</v>
      </c>
      <c r="R25" s="10">
        <v>0.5</v>
      </c>
      <c r="S25" s="10">
        <v>1</v>
      </c>
    </row>
    <row r="26" spans="1:19" x14ac:dyDescent="0.3">
      <c r="A26" s="5"/>
      <c r="B26" s="10">
        <v>23</v>
      </c>
      <c r="C26" s="10">
        <v>1010101004</v>
      </c>
      <c r="D26" s="10" t="s">
        <v>51</v>
      </c>
      <c r="E26" s="10" t="s">
        <v>43</v>
      </c>
      <c r="F26" s="10">
        <v>75</v>
      </c>
      <c r="G26" s="10">
        <v>0.5</v>
      </c>
      <c r="H26" t="s">
        <v>54</v>
      </c>
      <c r="I26" s="10">
        <v>0.3</v>
      </c>
      <c r="J26" s="10">
        <v>1.7999999999999999E-2</v>
      </c>
      <c r="K26" s="7"/>
      <c r="M26" s="7"/>
      <c r="N26" s="7"/>
      <c r="P26" s="7"/>
      <c r="Q26" t="s">
        <v>52</v>
      </c>
      <c r="R26" s="10">
        <v>0.1</v>
      </c>
      <c r="S26" s="10">
        <v>0.25</v>
      </c>
    </row>
    <row r="27" spans="1:19" x14ac:dyDescent="0.3">
      <c r="A27" s="5"/>
      <c r="B27" s="10">
        <v>24</v>
      </c>
      <c r="C27" s="10">
        <v>1010101004</v>
      </c>
      <c r="D27" s="10" t="s">
        <v>21</v>
      </c>
      <c r="E27" s="10" t="s">
        <v>43</v>
      </c>
      <c r="F27" s="10">
        <v>110</v>
      </c>
      <c r="G27" s="10">
        <v>0.5</v>
      </c>
      <c r="H27" t="s">
        <v>54</v>
      </c>
      <c r="I27" s="10">
        <v>0.4</v>
      </c>
      <c r="J27" s="10">
        <v>0.02</v>
      </c>
      <c r="K27" s="7"/>
      <c r="M27" s="7"/>
      <c r="N27" s="7"/>
      <c r="P27" s="7"/>
      <c r="Q27" s="12" t="s">
        <v>53</v>
      </c>
      <c r="R27" s="10">
        <v>0.08</v>
      </c>
      <c r="S27" s="10">
        <v>0.12</v>
      </c>
    </row>
    <row r="28" spans="1:19" x14ac:dyDescent="0.3">
      <c r="A28" s="5"/>
      <c r="B28" s="10">
        <v>25</v>
      </c>
      <c r="C28" s="10">
        <v>1010202001</v>
      </c>
      <c r="D28" s="10" t="s">
        <v>42</v>
      </c>
      <c r="E28" s="10" t="s">
        <v>55</v>
      </c>
      <c r="F28" s="10">
        <v>50</v>
      </c>
      <c r="G28" s="10">
        <v>1</v>
      </c>
      <c r="K28" s="7"/>
      <c r="M28" s="7"/>
      <c r="N28" s="7"/>
      <c r="P28" s="7"/>
      <c r="Q28" t="s">
        <v>55</v>
      </c>
      <c r="R28" s="10">
        <v>50</v>
      </c>
      <c r="S28" s="10">
        <v>100</v>
      </c>
    </row>
    <row r="29" spans="1:19" x14ac:dyDescent="0.3">
      <c r="A29" s="5"/>
      <c r="B29" s="10">
        <v>26</v>
      </c>
      <c r="C29" s="10">
        <v>1010202001</v>
      </c>
      <c r="D29" s="10" t="s">
        <v>45</v>
      </c>
      <c r="E29" s="10" t="s">
        <v>55</v>
      </c>
      <c r="F29" s="10">
        <v>100</v>
      </c>
      <c r="G29" s="10">
        <v>1</v>
      </c>
      <c r="K29" s="7"/>
      <c r="M29" s="7"/>
      <c r="N29" s="7"/>
      <c r="P29" s="7"/>
      <c r="Q29" t="s">
        <v>55</v>
      </c>
      <c r="R29" s="10">
        <v>100</v>
      </c>
      <c r="S29" s="10">
        <v>200</v>
      </c>
    </row>
    <row r="30" spans="1:19" x14ac:dyDescent="0.3">
      <c r="A30" s="5"/>
      <c r="B30" s="10">
        <v>27</v>
      </c>
      <c r="C30" s="10">
        <v>1010202001</v>
      </c>
      <c r="D30" s="10" t="s">
        <v>47</v>
      </c>
      <c r="E30" s="10" t="s">
        <v>55</v>
      </c>
      <c r="F30" s="10">
        <v>150</v>
      </c>
      <c r="G30" s="10">
        <v>1</v>
      </c>
      <c r="K30" s="7"/>
      <c r="M30" s="7"/>
      <c r="N30" s="7"/>
      <c r="P30" s="7"/>
      <c r="Q30" t="s">
        <v>55</v>
      </c>
      <c r="R30" s="10">
        <v>100</v>
      </c>
      <c r="S30" s="10">
        <v>200</v>
      </c>
    </row>
    <row r="31" spans="1:19" x14ac:dyDescent="0.3">
      <c r="A31" s="5"/>
      <c r="B31" s="10">
        <v>28</v>
      </c>
      <c r="C31" s="10">
        <v>1010202001</v>
      </c>
      <c r="D31" s="10" t="s">
        <v>49</v>
      </c>
      <c r="E31" s="10" t="s">
        <v>55</v>
      </c>
      <c r="F31" s="10">
        <v>200</v>
      </c>
      <c r="G31" s="10">
        <v>1</v>
      </c>
      <c r="K31" s="7"/>
      <c r="M31" s="7"/>
      <c r="N31" s="7"/>
      <c r="P31" s="7"/>
      <c r="Q31" t="s">
        <v>55</v>
      </c>
      <c r="R31" s="10">
        <v>150</v>
      </c>
      <c r="S31" s="10">
        <v>300</v>
      </c>
    </row>
    <row r="32" spans="1:19" x14ac:dyDescent="0.3">
      <c r="A32" s="5"/>
      <c r="B32" s="10">
        <v>29</v>
      </c>
      <c r="C32" s="10">
        <v>1010202001</v>
      </c>
      <c r="D32" s="10" t="s">
        <v>51</v>
      </c>
      <c r="E32" s="10" t="s">
        <v>55</v>
      </c>
      <c r="F32" s="10">
        <v>250</v>
      </c>
      <c r="G32" s="10">
        <v>1</v>
      </c>
      <c r="K32" s="7"/>
      <c r="M32" s="7"/>
      <c r="N32" s="7"/>
      <c r="P32" s="7"/>
      <c r="Q32" t="s">
        <v>55</v>
      </c>
      <c r="R32" s="10">
        <v>150</v>
      </c>
      <c r="S32" s="10">
        <v>300</v>
      </c>
    </row>
    <row r="33" spans="1:19" x14ac:dyDescent="0.3">
      <c r="A33" s="5"/>
      <c r="B33" s="10">
        <v>30</v>
      </c>
      <c r="C33" s="10">
        <v>1010202001</v>
      </c>
      <c r="D33" s="10" t="s">
        <v>21</v>
      </c>
      <c r="E33" s="10" t="s">
        <v>55</v>
      </c>
      <c r="F33" s="10">
        <v>300</v>
      </c>
      <c r="G33" s="10">
        <v>1</v>
      </c>
      <c r="K33" s="7"/>
      <c r="M33" s="7"/>
      <c r="N33" s="7"/>
      <c r="P33" s="7"/>
      <c r="Q33" t="s">
        <v>55</v>
      </c>
      <c r="R33" s="10">
        <v>200</v>
      </c>
      <c r="S33" s="10">
        <v>400</v>
      </c>
    </row>
    <row r="34" spans="1:19" x14ac:dyDescent="0.3">
      <c r="A34" s="5"/>
      <c r="B34" s="10">
        <v>31</v>
      </c>
      <c r="C34" s="10">
        <v>1010202002</v>
      </c>
      <c r="D34" s="10" t="s">
        <v>42</v>
      </c>
      <c r="E34" s="10" t="s">
        <v>55</v>
      </c>
      <c r="F34" s="10">
        <v>50</v>
      </c>
      <c r="G34" s="10">
        <v>1</v>
      </c>
      <c r="K34" s="7"/>
      <c r="M34" s="7"/>
      <c r="N34" s="7"/>
      <c r="P34" s="7"/>
      <c r="Q34" t="s">
        <v>55</v>
      </c>
      <c r="R34" s="10">
        <v>50</v>
      </c>
      <c r="S34" s="10">
        <v>100</v>
      </c>
    </row>
    <row r="35" spans="1:19" x14ac:dyDescent="0.3">
      <c r="A35" s="5"/>
      <c r="B35" s="10">
        <v>32</v>
      </c>
      <c r="C35" s="10">
        <v>1010202002</v>
      </c>
      <c r="D35" s="10" t="s">
        <v>45</v>
      </c>
      <c r="E35" s="10" t="s">
        <v>55</v>
      </c>
      <c r="F35" s="10">
        <v>100</v>
      </c>
      <c r="G35" s="10">
        <v>1</v>
      </c>
      <c r="K35" s="7"/>
      <c r="M35" s="7"/>
      <c r="N35" s="7"/>
      <c r="P35" s="7"/>
      <c r="Q35" t="s">
        <v>55</v>
      </c>
      <c r="R35" s="10">
        <v>100</v>
      </c>
      <c r="S35" s="10">
        <v>200</v>
      </c>
    </row>
    <row r="36" spans="1:19" x14ac:dyDescent="0.3">
      <c r="A36" s="5"/>
      <c r="B36" s="10">
        <v>33</v>
      </c>
      <c r="C36" s="10">
        <v>1010202002</v>
      </c>
      <c r="D36" s="10" t="s">
        <v>47</v>
      </c>
      <c r="E36" s="10" t="s">
        <v>55</v>
      </c>
      <c r="F36" s="10">
        <v>150</v>
      </c>
      <c r="G36" s="10">
        <v>1</v>
      </c>
      <c r="K36" s="7"/>
      <c r="M36" s="7"/>
      <c r="N36" s="7"/>
      <c r="P36" s="7"/>
      <c r="Q36" t="s">
        <v>55</v>
      </c>
      <c r="R36" s="10">
        <v>100</v>
      </c>
      <c r="S36" s="10">
        <v>200</v>
      </c>
    </row>
    <row r="37" spans="1:19" x14ac:dyDescent="0.3">
      <c r="A37" s="5"/>
      <c r="B37" s="10">
        <v>34</v>
      </c>
      <c r="C37" s="10">
        <v>1010202002</v>
      </c>
      <c r="D37" s="10" t="s">
        <v>49</v>
      </c>
      <c r="E37" s="10" t="s">
        <v>55</v>
      </c>
      <c r="F37" s="10">
        <v>200</v>
      </c>
      <c r="G37" s="10">
        <v>1</v>
      </c>
      <c r="K37" s="7"/>
      <c r="M37" s="7"/>
      <c r="N37" s="7"/>
      <c r="P37" s="7"/>
      <c r="Q37" t="s">
        <v>55</v>
      </c>
      <c r="R37" s="10">
        <v>150</v>
      </c>
      <c r="S37" s="10">
        <v>300</v>
      </c>
    </row>
    <row r="38" spans="1:19" x14ac:dyDescent="0.3">
      <c r="A38" s="5"/>
      <c r="B38" s="10">
        <v>35</v>
      </c>
      <c r="C38" s="10">
        <v>1010202002</v>
      </c>
      <c r="D38" s="10" t="s">
        <v>51</v>
      </c>
      <c r="E38" s="10" t="s">
        <v>55</v>
      </c>
      <c r="F38" s="10">
        <v>250</v>
      </c>
      <c r="G38" s="10">
        <v>1</v>
      </c>
      <c r="Q38" t="s">
        <v>55</v>
      </c>
      <c r="R38" s="10">
        <v>150</v>
      </c>
      <c r="S38" s="10">
        <v>300</v>
      </c>
    </row>
    <row r="39" spans="1:19" x14ac:dyDescent="0.3">
      <c r="A39" s="5"/>
      <c r="B39" s="10">
        <v>36</v>
      </c>
      <c r="C39" s="10">
        <v>1010202002</v>
      </c>
      <c r="D39" s="10" t="s">
        <v>21</v>
      </c>
      <c r="E39" s="10" t="s">
        <v>55</v>
      </c>
      <c r="F39" s="10">
        <v>300</v>
      </c>
      <c r="G39" s="10">
        <v>1</v>
      </c>
      <c r="Q39" t="s">
        <v>55</v>
      </c>
      <c r="R39" s="10">
        <v>200</v>
      </c>
      <c r="S39" s="10">
        <v>400</v>
      </c>
    </row>
    <row r="40" spans="1:19" x14ac:dyDescent="0.3">
      <c r="B40" s="10">
        <v>37</v>
      </c>
      <c r="C40" s="10">
        <v>1010203001</v>
      </c>
      <c r="D40" s="10" t="s">
        <v>42</v>
      </c>
      <c r="E40" s="10" t="s">
        <v>56</v>
      </c>
      <c r="F40" s="10">
        <v>10</v>
      </c>
      <c r="G40" s="10">
        <v>0.5</v>
      </c>
      <c r="Q40" s="10" t="s">
        <v>56</v>
      </c>
      <c r="R40" s="10">
        <v>7</v>
      </c>
      <c r="S40" s="10">
        <v>15</v>
      </c>
    </row>
    <row r="41" spans="1:19" x14ac:dyDescent="0.3">
      <c r="B41" s="10">
        <v>38</v>
      </c>
      <c r="C41" s="10">
        <v>1010203001</v>
      </c>
      <c r="D41" s="10" t="s">
        <v>45</v>
      </c>
      <c r="E41" s="10" t="s">
        <v>56</v>
      </c>
      <c r="F41" s="10">
        <v>15</v>
      </c>
      <c r="G41" s="10">
        <v>0.5</v>
      </c>
      <c r="Q41" s="10" t="s">
        <v>56</v>
      </c>
      <c r="R41" s="10">
        <v>15</v>
      </c>
      <c r="S41" s="10">
        <v>30</v>
      </c>
    </row>
    <row r="42" spans="1:19" x14ac:dyDescent="0.3">
      <c r="B42" s="10">
        <v>39</v>
      </c>
      <c r="C42" s="10">
        <v>1010203001</v>
      </c>
      <c r="D42" s="10" t="s">
        <v>47</v>
      </c>
      <c r="E42" s="10" t="s">
        <v>56</v>
      </c>
      <c r="F42" s="10">
        <v>20</v>
      </c>
      <c r="G42" s="10">
        <v>0.5</v>
      </c>
      <c r="Q42" s="10" t="s">
        <v>56</v>
      </c>
      <c r="R42" s="10">
        <v>15</v>
      </c>
      <c r="S42" s="10">
        <v>30</v>
      </c>
    </row>
    <row r="43" spans="1:19" x14ac:dyDescent="0.3">
      <c r="A43" s="5"/>
      <c r="B43" s="10">
        <v>40</v>
      </c>
      <c r="C43" s="10">
        <v>1010203001</v>
      </c>
      <c r="D43" s="10" t="s">
        <v>49</v>
      </c>
      <c r="E43" s="10" t="s">
        <v>56</v>
      </c>
      <c r="F43" s="10">
        <v>25</v>
      </c>
      <c r="G43" s="10">
        <v>0.5</v>
      </c>
      <c r="Q43" s="10" t="s">
        <v>56</v>
      </c>
      <c r="R43" s="10">
        <v>20</v>
      </c>
      <c r="S43" s="10">
        <v>40</v>
      </c>
    </row>
    <row r="44" spans="1:19" x14ac:dyDescent="0.3">
      <c r="A44" s="5"/>
      <c r="B44" s="10">
        <v>41</v>
      </c>
      <c r="C44" s="10">
        <v>1010203001</v>
      </c>
      <c r="D44" s="10" t="s">
        <v>51</v>
      </c>
      <c r="E44" s="10" t="s">
        <v>56</v>
      </c>
      <c r="F44" s="10">
        <v>30</v>
      </c>
      <c r="G44" s="10">
        <v>0.5</v>
      </c>
      <c r="Q44" s="10" t="s">
        <v>56</v>
      </c>
      <c r="R44" s="10">
        <v>20</v>
      </c>
      <c r="S44" s="10">
        <v>40</v>
      </c>
    </row>
    <row r="45" spans="1:19" x14ac:dyDescent="0.3">
      <c r="B45" s="10">
        <v>42</v>
      </c>
      <c r="C45" s="10">
        <v>1010203001</v>
      </c>
      <c r="D45" s="10" t="s">
        <v>21</v>
      </c>
      <c r="E45" s="10" t="s">
        <v>56</v>
      </c>
      <c r="F45" s="10">
        <v>35</v>
      </c>
      <c r="G45" s="10">
        <v>0.5</v>
      </c>
      <c r="Q45" s="10" t="s">
        <v>56</v>
      </c>
      <c r="R45" s="10">
        <v>30</v>
      </c>
      <c r="S45" s="10">
        <v>60</v>
      </c>
    </row>
    <row r="46" spans="1:19" x14ac:dyDescent="0.3">
      <c r="B46" s="10">
        <v>43</v>
      </c>
      <c r="C46" s="10">
        <v>1010203002</v>
      </c>
      <c r="D46" s="10" t="s">
        <v>42</v>
      </c>
      <c r="E46" s="10" t="s">
        <v>56</v>
      </c>
      <c r="F46" s="10">
        <v>10</v>
      </c>
      <c r="G46" s="10">
        <v>0.5</v>
      </c>
      <c r="Q46" s="10" t="s">
        <v>56</v>
      </c>
      <c r="R46" s="10">
        <v>7</v>
      </c>
      <c r="S46" s="10">
        <v>15</v>
      </c>
    </row>
    <row r="47" spans="1:19" x14ac:dyDescent="0.3">
      <c r="B47" s="10">
        <v>44</v>
      </c>
      <c r="C47" s="10">
        <v>1010203002</v>
      </c>
      <c r="D47" s="10" t="s">
        <v>45</v>
      </c>
      <c r="E47" s="10" t="s">
        <v>56</v>
      </c>
      <c r="F47" s="10">
        <v>15</v>
      </c>
      <c r="G47" s="10">
        <v>0.5</v>
      </c>
      <c r="Q47" s="10" t="s">
        <v>56</v>
      </c>
      <c r="R47" s="10">
        <v>15</v>
      </c>
      <c r="S47" s="10">
        <v>30</v>
      </c>
    </row>
    <row r="48" spans="1:19" x14ac:dyDescent="0.3">
      <c r="A48" s="5"/>
      <c r="B48" s="10">
        <v>45</v>
      </c>
      <c r="C48" s="10">
        <v>1010203002</v>
      </c>
      <c r="D48" s="10" t="s">
        <v>47</v>
      </c>
      <c r="E48" s="10" t="s">
        <v>56</v>
      </c>
      <c r="F48" s="10">
        <v>20</v>
      </c>
      <c r="G48" s="10">
        <v>0.5</v>
      </c>
      <c r="Q48" s="10" t="s">
        <v>56</v>
      </c>
      <c r="R48" s="10">
        <v>15</v>
      </c>
      <c r="S48" s="10">
        <v>30</v>
      </c>
    </row>
    <row r="49" spans="1:19" x14ac:dyDescent="0.3">
      <c r="A49" s="5"/>
      <c r="B49" s="10">
        <v>46</v>
      </c>
      <c r="C49" s="10">
        <v>1010203002</v>
      </c>
      <c r="D49" s="10" t="s">
        <v>49</v>
      </c>
      <c r="E49" s="10" t="s">
        <v>56</v>
      </c>
      <c r="F49" s="10">
        <v>25</v>
      </c>
      <c r="G49" s="10">
        <v>0.5</v>
      </c>
      <c r="Q49" s="10" t="s">
        <v>56</v>
      </c>
      <c r="R49" s="10">
        <v>20</v>
      </c>
      <c r="S49" s="10">
        <v>40</v>
      </c>
    </row>
    <row r="50" spans="1:19" x14ac:dyDescent="0.3">
      <c r="B50" s="10">
        <v>47</v>
      </c>
      <c r="C50" s="10">
        <v>1010203002</v>
      </c>
      <c r="D50" s="10" t="s">
        <v>51</v>
      </c>
      <c r="E50" s="10" t="s">
        <v>56</v>
      </c>
      <c r="F50" s="10">
        <v>30</v>
      </c>
      <c r="G50" s="10">
        <v>0.5</v>
      </c>
      <c r="Q50" s="10" t="s">
        <v>56</v>
      </c>
      <c r="R50" s="10">
        <v>20</v>
      </c>
      <c r="S50" s="10">
        <v>40</v>
      </c>
    </row>
    <row r="51" spans="1:19" x14ac:dyDescent="0.3">
      <c r="B51" s="10">
        <v>48</v>
      </c>
      <c r="C51" s="10">
        <v>1010203002</v>
      </c>
      <c r="D51" s="10" t="s">
        <v>21</v>
      </c>
      <c r="E51" s="10" t="s">
        <v>56</v>
      </c>
      <c r="F51" s="10">
        <v>35</v>
      </c>
      <c r="G51" s="10">
        <v>0.5</v>
      </c>
      <c r="Q51" s="10" t="s">
        <v>56</v>
      </c>
      <c r="R51" s="10">
        <v>30</v>
      </c>
      <c r="S51" s="10">
        <v>60</v>
      </c>
    </row>
    <row r="52" spans="1:19" x14ac:dyDescent="0.3">
      <c r="B52" s="10">
        <v>49</v>
      </c>
      <c r="C52" s="10">
        <v>1010204001</v>
      </c>
      <c r="D52" s="10" t="s">
        <v>42</v>
      </c>
      <c r="E52" s="10" t="s">
        <v>46</v>
      </c>
      <c r="F52" s="10">
        <v>0.1</v>
      </c>
      <c r="G52" s="10">
        <v>1E-3</v>
      </c>
      <c r="Q52" s="10" t="s">
        <v>46</v>
      </c>
      <c r="R52" s="10">
        <v>2.5000000000000001E-2</v>
      </c>
      <c r="S52" s="10">
        <v>0.05</v>
      </c>
    </row>
    <row r="53" spans="1:19" x14ac:dyDescent="0.3">
      <c r="A53" s="5"/>
      <c r="B53" s="10">
        <v>50</v>
      </c>
      <c r="C53" s="10">
        <v>1010204001</v>
      </c>
      <c r="D53" s="10" t="s">
        <v>45</v>
      </c>
      <c r="E53" s="10" t="s">
        <v>46</v>
      </c>
      <c r="F53" s="10">
        <v>0.15</v>
      </c>
      <c r="G53" s="10">
        <v>1E-3</v>
      </c>
      <c r="Q53" s="10" t="s">
        <v>46</v>
      </c>
      <c r="R53" s="10">
        <v>0.05</v>
      </c>
      <c r="S53" s="10">
        <v>0.1</v>
      </c>
    </row>
    <row r="54" spans="1:19" x14ac:dyDescent="0.3">
      <c r="B54" s="10">
        <v>51</v>
      </c>
      <c r="C54" s="10">
        <v>1010204001</v>
      </c>
      <c r="D54" s="10" t="s">
        <v>47</v>
      </c>
      <c r="E54" s="10" t="s">
        <v>46</v>
      </c>
      <c r="F54" s="10">
        <v>0.2</v>
      </c>
      <c r="G54" s="10">
        <v>1E-3</v>
      </c>
      <c r="Q54" s="10" t="s">
        <v>46</v>
      </c>
      <c r="R54" s="10">
        <v>0.1</v>
      </c>
      <c r="S54" s="10">
        <v>0.2</v>
      </c>
    </row>
    <row r="55" spans="1:19" x14ac:dyDescent="0.3">
      <c r="B55" s="10">
        <v>52</v>
      </c>
      <c r="C55" s="10">
        <v>1010204001</v>
      </c>
      <c r="D55" s="10" t="s">
        <v>49</v>
      </c>
      <c r="E55" s="10" t="s">
        <v>46</v>
      </c>
      <c r="F55" s="10">
        <v>0.25</v>
      </c>
      <c r="G55" s="10">
        <v>1E-3</v>
      </c>
      <c r="Q55" s="10" t="s">
        <v>46</v>
      </c>
      <c r="R55" s="10">
        <v>0.15</v>
      </c>
      <c r="S55" s="10">
        <v>0.3</v>
      </c>
    </row>
    <row r="56" spans="1:19" x14ac:dyDescent="0.3">
      <c r="B56" s="10">
        <v>53</v>
      </c>
      <c r="C56" s="10">
        <v>1010204001</v>
      </c>
      <c r="D56" s="10" t="s">
        <v>51</v>
      </c>
      <c r="E56" s="10" t="s">
        <v>46</v>
      </c>
      <c r="F56" s="10">
        <v>0.3</v>
      </c>
      <c r="G56" s="10">
        <v>1E-3</v>
      </c>
      <c r="Q56" s="10" t="s">
        <v>46</v>
      </c>
      <c r="R56" s="10">
        <v>0.2</v>
      </c>
      <c r="S56" s="10">
        <v>0.4</v>
      </c>
    </row>
    <row r="57" spans="1:19" x14ac:dyDescent="0.3">
      <c r="B57" s="10">
        <v>54</v>
      </c>
      <c r="C57" s="10">
        <v>1010204001</v>
      </c>
      <c r="D57" s="10" t="s">
        <v>21</v>
      </c>
      <c r="E57" s="10" t="s">
        <v>46</v>
      </c>
      <c r="F57" s="10">
        <v>0.35</v>
      </c>
      <c r="G57" s="10">
        <v>1E-3</v>
      </c>
      <c r="Q57" s="10" t="s">
        <v>46</v>
      </c>
      <c r="R57" s="10">
        <v>0.25</v>
      </c>
      <c r="S57" s="10">
        <v>0.5</v>
      </c>
    </row>
    <row r="58" spans="1:19" x14ac:dyDescent="0.3">
      <c r="A58" s="5"/>
      <c r="B58" s="10">
        <v>55</v>
      </c>
      <c r="C58" s="10">
        <v>1010204002</v>
      </c>
      <c r="D58" s="10" t="s">
        <v>42</v>
      </c>
      <c r="E58" s="10" t="s">
        <v>46</v>
      </c>
      <c r="F58" s="10">
        <v>0.1</v>
      </c>
      <c r="G58" s="10">
        <v>1E-3</v>
      </c>
      <c r="Q58" s="10" t="s">
        <v>46</v>
      </c>
      <c r="R58" s="10">
        <v>2.5000000000000001E-2</v>
      </c>
      <c r="S58" s="10">
        <v>0.05</v>
      </c>
    </row>
    <row r="59" spans="1:19" x14ac:dyDescent="0.3">
      <c r="B59" s="10">
        <v>56</v>
      </c>
      <c r="C59" s="10">
        <v>1010204002</v>
      </c>
      <c r="D59" s="10" t="s">
        <v>45</v>
      </c>
      <c r="E59" s="10" t="s">
        <v>46</v>
      </c>
      <c r="F59" s="10">
        <v>0.15</v>
      </c>
      <c r="G59" s="10">
        <v>1E-3</v>
      </c>
      <c r="Q59" s="10" t="s">
        <v>46</v>
      </c>
      <c r="R59" s="10">
        <v>0.05</v>
      </c>
      <c r="S59" s="10">
        <v>0.1</v>
      </c>
    </row>
    <row r="60" spans="1:19" x14ac:dyDescent="0.3">
      <c r="B60" s="10">
        <v>57</v>
      </c>
      <c r="C60" s="10">
        <v>1010204002</v>
      </c>
      <c r="D60" s="10" t="s">
        <v>47</v>
      </c>
      <c r="E60" s="10" t="s">
        <v>46</v>
      </c>
      <c r="F60" s="10">
        <v>0.2</v>
      </c>
      <c r="G60" s="10">
        <v>1E-3</v>
      </c>
      <c r="Q60" s="10" t="s">
        <v>46</v>
      </c>
      <c r="R60" s="10">
        <v>0.1</v>
      </c>
      <c r="S60" s="10">
        <v>0.2</v>
      </c>
    </row>
    <row r="61" spans="1:19" x14ac:dyDescent="0.3">
      <c r="B61" s="10">
        <v>58</v>
      </c>
      <c r="C61" s="10">
        <v>1010204002</v>
      </c>
      <c r="D61" s="10" t="s">
        <v>49</v>
      </c>
      <c r="E61" s="10" t="s">
        <v>46</v>
      </c>
      <c r="F61" s="10">
        <v>0.25</v>
      </c>
      <c r="G61" s="10">
        <v>1E-3</v>
      </c>
      <c r="Q61" s="10" t="s">
        <v>46</v>
      </c>
      <c r="R61" s="10">
        <v>0.15</v>
      </c>
      <c r="S61" s="10">
        <v>0.3</v>
      </c>
    </row>
    <row r="62" spans="1:19" x14ac:dyDescent="0.3">
      <c r="B62" s="10">
        <v>59</v>
      </c>
      <c r="C62" s="10">
        <v>1010204002</v>
      </c>
      <c r="D62" s="10" t="s">
        <v>51</v>
      </c>
      <c r="E62" s="10" t="s">
        <v>46</v>
      </c>
      <c r="F62" s="10">
        <v>0.3</v>
      </c>
      <c r="G62" s="10">
        <v>1E-3</v>
      </c>
      <c r="Q62" s="10" t="s">
        <v>46</v>
      </c>
      <c r="R62" s="10">
        <v>0.2</v>
      </c>
      <c r="S62" s="10">
        <v>0.4</v>
      </c>
    </row>
    <row r="63" spans="1:19" x14ac:dyDescent="0.3">
      <c r="A63" s="5"/>
      <c r="B63" s="10">
        <v>60</v>
      </c>
      <c r="C63" s="10">
        <v>1010204002</v>
      </c>
      <c r="D63" s="10" t="s">
        <v>21</v>
      </c>
      <c r="E63" s="10" t="s">
        <v>46</v>
      </c>
      <c r="F63" s="10">
        <v>0.35</v>
      </c>
      <c r="G63" s="10">
        <v>1E-3</v>
      </c>
      <c r="Q63" s="10" t="s">
        <v>46</v>
      </c>
      <c r="R63" s="10">
        <v>0.25</v>
      </c>
      <c r="S63" s="10">
        <v>0.5</v>
      </c>
    </row>
    <row r="64" spans="1:19" x14ac:dyDescent="0.3">
      <c r="B64" s="10">
        <v>61</v>
      </c>
      <c r="C64" s="10">
        <v>1010205001</v>
      </c>
      <c r="D64" s="10" t="s">
        <v>42</v>
      </c>
      <c r="E64" s="10" t="s">
        <v>57</v>
      </c>
      <c r="F64" s="10">
        <v>0.1</v>
      </c>
      <c r="G64" s="10">
        <v>1E-3</v>
      </c>
      <c r="Q64" s="10" t="s">
        <v>57</v>
      </c>
      <c r="R64" s="10">
        <v>2.5000000000000001E-2</v>
      </c>
      <c r="S64" s="10">
        <v>0.05</v>
      </c>
    </row>
    <row r="65" spans="1:19" x14ac:dyDescent="0.3">
      <c r="B65" s="10">
        <v>62</v>
      </c>
      <c r="C65" s="10">
        <v>1010205001</v>
      </c>
      <c r="D65" s="10" t="s">
        <v>45</v>
      </c>
      <c r="E65" s="10" t="s">
        <v>57</v>
      </c>
      <c r="F65" s="10">
        <v>0.125</v>
      </c>
      <c r="G65" s="10">
        <v>1E-3</v>
      </c>
      <c r="Q65" s="10" t="s">
        <v>57</v>
      </c>
      <c r="R65" s="10">
        <v>0.05</v>
      </c>
      <c r="S65" s="10">
        <v>0.1</v>
      </c>
    </row>
    <row r="66" spans="1:19" x14ac:dyDescent="0.3">
      <c r="B66" s="10">
        <v>63</v>
      </c>
      <c r="C66" s="10">
        <v>1010205001</v>
      </c>
      <c r="D66" s="10" t="s">
        <v>47</v>
      </c>
      <c r="E66" s="10" t="s">
        <v>57</v>
      </c>
      <c r="F66" s="10">
        <v>0.15</v>
      </c>
      <c r="G66" s="10">
        <v>1E-3</v>
      </c>
      <c r="Q66" s="10" t="s">
        <v>57</v>
      </c>
      <c r="R66" s="10">
        <v>0.1</v>
      </c>
      <c r="S66" s="10">
        <v>0.2</v>
      </c>
    </row>
    <row r="67" spans="1:19" x14ac:dyDescent="0.3">
      <c r="B67" s="10">
        <v>64</v>
      </c>
      <c r="C67" s="10">
        <v>1010205001</v>
      </c>
      <c r="D67" s="10" t="s">
        <v>49</v>
      </c>
      <c r="E67" s="10" t="s">
        <v>57</v>
      </c>
      <c r="F67" s="10">
        <v>0.17499999999999999</v>
      </c>
      <c r="G67" s="10">
        <v>1E-3</v>
      </c>
      <c r="Q67" s="10" t="s">
        <v>57</v>
      </c>
      <c r="R67" s="10">
        <v>0.15</v>
      </c>
      <c r="S67" s="10">
        <v>0.3</v>
      </c>
    </row>
    <row r="68" spans="1:19" x14ac:dyDescent="0.3">
      <c r="A68" s="5"/>
      <c r="B68" s="10">
        <v>65</v>
      </c>
      <c r="C68" s="10">
        <v>1010205001</v>
      </c>
      <c r="D68" s="10" t="s">
        <v>51</v>
      </c>
      <c r="E68" s="10" t="s">
        <v>57</v>
      </c>
      <c r="F68" s="10">
        <v>0.2</v>
      </c>
      <c r="G68" s="10">
        <v>1E-3</v>
      </c>
      <c r="Q68" s="10" t="s">
        <v>57</v>
      </c>
      <c r="R68" s="10">
        <v>0.2</v>
      </c>
      <c r="S68" s="10">
        <v>0.4</v>
      </c>
    </row>
    <row r="69" spans="1:19" x14ac:dyDescent="0.3">
      <c r="B69" s="10">
        <v>66</v>
      </c>
      <c r="C69" s="10">
        <v>1010205001</v>
      </c>
      <c r="D69" s="10" t="s">
        <v>21</v>
      </c>
      <c r="E69" s="10" t="s">
        <v>57</v>
      </c>
      <c r="F69" s="10">
        <v>0.22500000000000001</v>
      </c>
      <c r="G69" s="10">
        <v>1E-3</v>
      </c>
      <c r="Q69" s="10" t="s">
        <v>57</v>
      </c>
      <c r="R69" s="10">
        <v>0.25</v>
      </c>
      <c r="S69" s="10">
        <v>0.5</v>
      </c>
    </row>
    <row r="70" spans="1:19" x14ac:dyDescent="0.3">
      <c r="B70" s="10">
        <v>67</v>
      </c>
      <c r="C70" s="10">
        <v>1010205002</v>
      </c>
      <c r="D70" s="10" t="s">
        <v>42</v>
      </c>
      <c r="E70" s="10" t="s">
        <v>57</v>
      </c>
      <c r="F70" s="10">
        <v>0.1</v>
      </c>
      <c r="G70" s="10">
        <v>1E-3</v>
      </c>
      <c r="Q70" s="10" t="s">
        <v>57</v>
      </c>
      <c r="R70" s="10">
        <v>2.5000000000000001E-2</v>
      </c>
      <c r="S70" s="10">
        <v>0.05</v>
      </c>
    </row>
    <row r="71" spans="1:19" x14ac:dyDescent="0.3">
      <c r="B71" s="10">
        <v>68</v>
      </c>
      <c r="C71" s="10">
        <v>1010205002</v>
      </c>
      <c r="D71" s="10" t="s">
        <v>45</v>
      </c>
      <c r="E71" s="10" t="s">
        <v>57</v>
      </c>
      <c r="F71" s="10">
        <v>0.125</v>
      </c>
      <c r="G71" s="10">
        <v>1E-3</v>
      </c>
      <c r="Q71" s="10" t="s">
        <v>57</v>
      </c>
      <c r="R71" s="10">
        <v>0.05</v>
      </c>
      <c r="S71" s="10">
        <v>0.1</v>
      </c>
    </row>
    <row r="72" spans="1:19" x14ac:dyDescent="0.3">
      <c r="B72" s="10">
        <v>69</v>
      </c>
      <c r="C72" s="10">
        <v>1010205002</v>
      </c>
      <c r="D72" s="10" t="s">
        <v>47</v>
      </c>
      <c r="E72" s="10" t="s">
        <v>57</v>
      </c>
      <c r="F72" s="10">
        <v>0.15</v>
      </c>
      <c r="G72" s="10">
        <v>1E-3</v>
      </c>
      <c r="Q72" s="10" t="s">
        <v>57</v>
      </c>
      <c r="R72" s="10">
        <v>0.1</v>
      </c>
      <c r="S72" s="10">
        <v>0.2</v>
      </c>
    </row>
    <row r="73" spans="1:19" x14ac:dyDescent="0.3">
      <c r="A73" s="5"/>
      <c r="B73" s="10">
        <v>70</v>
      </c>
      <c r="C73" s="10">
        <v>1010205002</v>
      </c>
      <c r="D73" s="10" t="s">
        <v>49</v>
      </c>
      <c r="E73" s="10" t="s">
        <v>57</v>
      </c>
      <c r="F73" s="10">
        <v>0.17499999999999999</v>
      </c>
      <c r="G73" s="10">
        <v>1E-3</v>
      </c>
      <c r="Q73" s="10" t="s">
        <v>57</v>
      </c>
      <c r="R73" s="10">
        <v>0.15</v>
      </c>
      <c r="S73" s="10">
        <v>0.3</v>
      </c>
    </row>
    <row r="74" spans="1:19" x14ac:dyDescent="0.3">
      <c r="B74" s="10">
        <v>71</v>
      </c>
      <c r="C74" s="10">
        <v>1010205002</v>
      </c>
      <c r="D74" s="10" t="s">
        <v>51</v>
      </c>
      <c r="E74" s="10" t="s">
        <v>57</v>
      </c>
      <c r="F74" s="10">
        <v>0.2</v>
      </c>
      <c r="G74" s="10">
        <v>1E-3</v>
      </c>
      <c r="Q74" s="10" t="s">
        <v>57</v>
      </c>
      <c r="R74" s="10">
        <v>0.2</v>
      </c>
      <c r="S74" s="10">
        <v>0.4</v>
      </c>
    </row>
    <row r="75" spans="1:19" x14ac:dyDescent="0.3">
      <c r="B75" s="10">
        <v>72</v>
      </c>
      <c r="C75" s="10">
        <v>1010205002</v>
      </c>
      <c r="D75" s="10" t="s">
        <v>21</v>
      </c>
      <c r="E75" s="10" t="s">
        <v>57</v>
      </c>
      <c r="F75" s="10">
        <v>0.22500000000000001</v>
      </c>
      <c r="G75" s="10">
        <v>1E-3</v>
      </c>
      <c r="Q75" s="10" t="s">
        <v>57</v>
      </c>
      <c r="R75" s="10">
        <v>0.25</v>
      </c>
      <c r="S75" s="10">
        <v>0.5</v>
      </c>
    </row>
    <row r="76" spans="1:19" x14ac:dyDescent="0.3">
      <c r="B76" s="10">
        <v>73</v>
      </c>
      <c r="C76" s="10">
        <v>1010306001</v>
      </c>
      <c r="D76" s="10" t="s">
        <v>42</v>
      </c>
      <c r="E76" t="s">
        <v>44</v>
      </c>
      <c r="F76" s="10">
        <v>0.1</v>
      </c>
      <c r="G76" s="10">
        <v>0.01</v>
      </c>
      <c r="Q76" t="s">
        <v>44</v>
      </c>
      <c r="R76" s="10">
        <v>0.05</v>
      </c>
      <c r="S76" s="10">
        <v>0.1</v>
      </c>
    </row>
    <row r="77" spans="1:19" x14ac:dyDescent="0.3">
      <c r="B77" s="10">
        <v>74</v>
      </c>
      <c r="C77" s="10">
        <v>1010306001</v>
      </c>
      <c r="D77" s="10" t="s">
        <v>45</v>
      </c>
      <c r="E77" t="s">
        <v>44</v>
      </c>
      <c r="F77" s="10">
        <v>0.15</v>
      </c>
      <c r="G77" s="10">
        <v>1.4999999999999999E-2</v>
      </c>
      <c r="Q77" t="s">
        <v>44</v>
      </c>
      <c r="R77" s="10">
        <v>0.1</v>
      </c>
      <c r="S77" s="10">
        <v>0.2</v>
      </c>
    </row>
    <row r="78" spans="1:19" x14ac:dyDescent="0.3">
      <c r="B78" s="10">
        <v>75</v>
      </c>
      <c r="C78" s="10">
        <v>1010306001</v>
      </c>
      <c r="D78" s="10" t="s">
        <v>47</v>
      </c>
      <c r="E78" t="s">
        <v>44</v>
      </c>
      <c r="F78" s="10">
        <v>0.2</v>
      </c>
      <c r="G78" s="10">
        <v>0.02</v>
      </c>
      <c r="Q78" t="s">
        <v>44</v>
      </c>
      <c r="R78" s="10">
        <v>0.15</v>
      </c>
      <c r="S78" s="10">
        <v>0.3</v>
      </c>
    </row>
    <row r="79" spans="1:19" x14ac:dyDescent="0.3">
      <c r="B79" s="10">
        <v>76</v>
      </c>
      <c r="C79" s="10">
        <v>1010306001</v>
      </c>
      <c r="D79" s="10" t="s">
        <v>49</v>
      </c>
      <c r="E79" t="s">
        <v>44</v>
      </c>
      <c r="F79" s="10">
        <v>0.25</v>
      </c>
      <c r="G79" s="10">
        <v>2.5000000000000001E-2</v>
      </c>
      <c r="Q79" t="s">
        <v>44</v>
      </c>
      <c r="R79" s="10">
        <v>0.2</v>
      </c>
      <c r="S79" s="10">
        <v>0.4</v>
      </c>
    </row>
    <row r="80" spans="1:19" x14ac:dyDescent="0.3">
      <c r="B80" s="10">
        <v>77</v>
      </c>
      <c r="C80" s="10">
        <v>1010306001</v>
      </c>
      <c r="D80" s="10" t="s">
        <v>51</v>
      </c>
      <c r="E80" t="s">
        <v>44</v>
      </c>
      <c r="F80" s="10">
        <v>0.3</v>
      </c>
      <c r="G80" s="10">
        <v>0.03</v>
      </c>
      <c r="Q80" t="s">
        <v>44</v>
      </c>
      <c r="R80" s="10">
        <v>0.25</v>
      </c>
      <c r="S80" s="10">
        <v>0.5</v>
      </c>
    </row>
    <row r="81" spans="2:19" x14ac:dyDescent="0.3">
      <c r="B81" s="10">
        <v>78</v>
      </c>
      <c r="C81" s="10">
        <v>1010306001</v>
      </c>
      <c r="D81" s="10" t="s">
        <v>21</v>
      </c>
      <c r="E81" t="s">
        <v>44</v>
      </c>
      <c r="F81" s="10">
        <v>0.35</v>
      </c>
      <c r="G81" s="10">
        <v>3.5000000000000003E-2</v>
      </c>
      <c r="Q81" t="s">
        <v>44</v>
      </c>
      <c r="R81" s="10">
        <v>0.3</v>
      </c>
      <c r="S81" s="10">
        <v>0.6</v>
      </c>
    </row>
    <row r="82" spans="2:19" x14ac:dyDescent="0.3">
      <c r="B82" s="10">
        <v>79</v>
      </c>
      <c r="C82" s="10">
        <v>1010306002</v>
      </c>
      <c r="D82" s="10" t="s">
        <v>42</v>
      </c>
      <c r="E82" t="s">
        <v>54</v>
      </c>
      <c r="F82" s="10">
        <v>0.1</v>
      </c>
      <c r="G82" s="10">
        <v>0.01</v>
      </c>
      <c r="Q82" t="s">
        <v>54</v>
      </c>
      <c r="R82" s="10">
        <v>0.05</v>
      </c>
      <c r="S82" s="10">
        <v>0.1</v>
      </c>
    </row>
    <row r="83" spans="2:19" x14ac:dyDescent="0.3">
      <c r="B83" s="10">
        <v>80</v>
      </c>
      <c r="C83" s="10">
        <v>1010306002</v>
      </c>
      <c r="D83" s="10" t="s">
        <v>45</v>
      </c>
      <c r="E83" t="s">
        <v>54</v>
      </c>
      <c r="F83" s="10">
        <v>0.15</v>
      </c>
      <c r="G83" s="10">
        <v>1.4999999999999999E-2</v>
      </c>
      <c r="Q83" t="s">
        <v>54</v>
      </c>
      <c r="R83" s="10">
        <v>0.1</v>
      </c>
      <c r="S83" s="10">
        <v>0.2</v>
      </c>
    </row>
    <row r="84" spans="2:19" x14ac:dyDescent="0.3">
      <c r="B84" s="10">
        <v>81</v>
      </c>
      <c r="C84" s="10">
        <v>1010306002</v>
      </c>
      <c r="D84" s="10" t="s">
        <v>47</v>
      </c>
      <c r="E84" t="s">
        <v>54</v>
      </c>
      <c r="F84" s="10">
        <v>0.2</v>
      </c>
      <c r="G84" s="10">
        <v>0.02</v>
      </c>
      <c r="Q84" t="s">
        <v>54</v>
      </c>
      <c r="R84" s="10">
        <v>0.15</v>
      </c>
      <c r="S84" s="10">
        <v>0.3</v>
      </c>
    </row>
    <row r="85" spans="2:19" x14ac:dyDescent="0.3">
      <c r="B85" s="10">
        <v>82</v>
      </c>
      <c r="C85" s="10">
        <v>1010306002</v>
      </c>
      <c r="D85" s="10" t="s">
        <v>49</v>
      </c>
      <c r="E85" t="s">
        <v>54</v>
      </c>
      <c r="F85" s="10">
        <v>0.25</v>
      </c>
      <c r="G85" s="10">
        <v>2.5000000000000001E-2</v>
      </c>
      <c r="Q85" t="s">
        <v>54</v>
      </c>
      <c r="R85" s="10">
        <v>0.2</v>
      </c>
      <c r="S85" s="10">
        <v>0.4</v>
      </c>
    </row>
    <row r="86" spans="2:19" x14ac:dyDescent="0.3">
      <c r="B86" s="10">
        <v>83</v>
      </c>
      <c r="C86" s="10">
        <v>1010306002</v>
      </c>
      <c r="D86" s="10" t="s">
        <v>51</v>
      </c>
      <c r="E86" t="s">
        <v>54</v>
      </c>
      <c r="F86" s="10">
        <v>0.3</v>
      </c>
      <c r="G86" s="10">
        <v>0.03</v>
      </c>
      <c r="Q86" t="s">
        <v>54</v>
      </c>
      <c r="R86" s="10">
        <v>0.25</v>
      </c>
      <c r="S86" s="10">
        <v>0.5</v>
      </c>
    </row>
    <row r="87" spans="2:19" x14ac:dyDescent="0.3">
      <c r="B87" s="10">
        <v>84</v>
      </c>
      <c r="C87" s="10">
        <v>1010306002</v>
      </c>
      <c r="D87" s="10" t="s">
        <v>21</v>
      </c>
      <c r="E87" t="s">
        <v>54</v>
      </c>
      <c r="F87" s="10">
        <v>0.35</v>
      </c>
      <c r="G87" s="10">
        <v>3.5000000000000003E-2</v>
      </c>
      <c r="Q87" t="s">
        <v>54</v>
      </c>
      <c r="R87" s="10">
        <v>0.3</v>
      </c>
      <c r="S87" s="10">
        <v>0.6</v>
      </c>
    </row>
    <row r="88" spans="2:19" x14ac:dyDescent="0.3">
      <c r="B88" s="10">
        <v>85</v>
      </c>
      <c r="C88" s="10">
        <v>1010307001</v>
      </c>
      <c r="D88" s="10" t="s">
        <v>42</v>
      </c>
      <c r="E88" t="s">
        <v>44</v>
      </c>
      <c r="F88" s="10">
        <v>0.1</v>
      </c>
      <c r="G88" s="10">
        <v>0.01</v>
      </c>
      <c r="Q88" t="s">
        <v>44</v>
      </c>
      <c r="R88" s="10">
        <v>0.05</v>
      </c>
      <c r="S88" s="10">
        <v>0.1</v>
      </c>
    </row>
    <row r="89" spans="2:19" x14ac:dyDescent="0.3">
      <c r="B89" s="10">
        <v>86</v>
      </c>
      <c r="C89" s="10">
        <v>1010307001</v>
      </c>
      <c r="D89" s="10" t="s">
        <v>45</v>
      </c>
      <c r="E89" t="s">
        <v>44</v>
      </c>
      <c r="F89" s="10">
        <v>0.15</v>
      </c>
      <c r="G89" s="10">
        <v>1.4999999999999999E-2</v>
      </c>
      <c r="Q89" t="s">
        <v>44</v>
      </c>
      <c r="R89" s="10">
        <v>0.1</v>
      </c>
      <c r="S89" s="10">
        <v>0.2</v>
      </c>
    </row>
    <row r="90" spans="2:19" x14ac:dyDescent="0.3">
      <c r="B90" s="10">
        <v>87</v>
      </c>
      <c r="C90" s="10">
        <v>1010307001</v>
      </c>
      <c r="D90" s="10" t="s">
        <v>47</v>
      </c>
      <c r="E90" t="s">
        <v>44</v>
      </c>
      <c r="F90" s="10">
        <v>0.2</v>
      </c>
      <c r="G90" s="10">
        <v>0.02</v>
      </c>
      <c r="Q90" t="s">
        <v>44</v>
      </c>
      <c r="R90" s="10">
        <v>0.15</v>
      </c>
      <c r="S90" s="10">
        <v>0.3</v>
      </c>
    </row>
    <row r="91" spans="2:19" x14ac:dyDescent="0.3">
      <c r="B91" s="10">
        <v>88</v>
      </c>
      <c r="C91" s="10">
        <v>1010307001</v>
      </c>
      <c r="D91" s="10" t="s">
        <v>49</v>
      </c>
      <c r="E91" t="s">
        <v>44</v>
      </c>
      <c r="F91" s="10">
        <v>0.25</v>
      </c>
      <c r="G91" s="10">
        <v>2.5000000000000001E-2</v>
      </c>
      <c r="Q91" t="s">
        <v>44</v>
      </c>
      <c r="R91" s="10">
        <v>0.2</v>
      </c>
      <c r="S91" s="10">
        <v>0.4</v>
      </c>
    </row>
    <row r="92" spans="2:19" x14ac:dyDescent="0.3">
      <c r="B92" s="10">
        <v>89</v>
      </c>
      <c r="C92" s="10">
        <v>1010307001</v>
      </c>
      <c r="D92" s="10" t="s">
        <v>51</v>
      </c>
      <c r="E92" t="s">
        <v>44</v>
      </c>
      <c r="F92" s="10">
        <v>0.3</v>
      </c>
      <c r="G92" s="10">
        <v>0.03</v>
      </c>
      <c r="Q92" t="s">
        <v>44</v>
      </c>
      <c r="R92" s="10">
        <v>0.25</v>
      </c>
      <c r="S92" s="10">
        <v>0.5</v>
      </c>
    </row>
    <row r="93" spans="2:19" x14ac:dyDescent="0.3">
      <c r="B93" s="10">
        <v>90</v>
      </c>
      <c r="C93" s="10">
        <v>1010307001</v>
      </c>
      <c r="D93" s="10" t="s">
        <v>21</v>
      </c>
      <c r="E93" t="s">
        <v>44</v>
      </c>
      <c r="F93" s="10">
        <v>0.35</v>
      </c>
      <c r="G93" s="10">
        <v>3.5000000000000003E-2</v>
      </c>
      <c r="Q93" t="s">
        <v>44</v>
      </c>
      <c r="R93" s="10">
        <v>0.3</v>
      </c>
      <c r="S93" s="10">
        <v>0.6</v>
      </c>
    </row>
    <row r="94" spans="2:19" x14ac:dyDescent="0.3">
      <c r="B94" s="10">
        <v>91</v>
      </c>
      <c r="C94" s="10">
        <v>1010307002</v>
      </c>
      <c r="D94" s="10" t="s">
        <v>42</v>
      </c>
      <c r="E94" t="s">
        <v>54</v>
      </c>
      <c r="F94" s="10">
        <v>0.1</v>
      </c>
      <c r="G94" s="10">
        <v>0.01</v>
      </c>
      <c r="Q94" t="s">
        <v>54</v>
      </c>
      <c r="R94" s="10">
        <v>0.05</v>
      </c>
      <c r="S94" s="10">
        <v>0.1</v>
      </c>
    </row>
    <row r="95" spans="2:19" x14ac:dyDescent="0.3">
      <c r="B95" s="10">
        <v>92</v>
      </c>
      <c r="C95" s="10">
        <v>1010307002</v>
      </c>
      <c r="D95" s="10" t="s">
        <v>45</v>
      </c>
      <c r="E95" t="s">
        <v>54</v>
      </c>
      <c r="F95" s="10">
        <v>0.15</v>
      </c>
      <c r="G95" s="10">
        <v>1.4999999999999999E-2</v>
      </c>
      <c r="Q95" t="s">
        <v>54</v>
      </c>
      <c r="R95" s="10">
        <v>0.1</v>
      </c>
      <c r="S95" s="10">
        <v>0.2</v>
      </c>
    </row>
    <row r="96" spans="2:19" x14ac:dyDescent="0.3">
      <c r="B96" s="10">
        <v>93</v>
      </c>
      <c r="C96" s="10">
        <v>1010307002</v>
      </c>
      <c r="D96" s="10" t="s">
        <v>47</v>
      </c>
      <c r="E96" t="s">
        <v>54</v>
      </c>
      <c r="F96" s="10">
        <v>0.2</v>
      </c>
      <c r="G96" s="10">
        <v>0.02</v>
      </c>
      <c r="Q96" t="s">
        <v>54</v>
      </c>
      <c r="R96" s="10">
        <v>0.15</v>
      </c>
      <c r="S96" s="10">
        <v>0.3</v>
      </c>
    </row>
    <row r="97" spans="2:19" x14ac:dyDescent="0.3">
      <c r="B97" s="10">
        <v>94</v>
      </c>
      <c r="C97" s="10">
        <v>1010307002</v>
      </c>
      <c r="D97" s="10" t="s">
        <v>49</v>
      </c>
      <c r="E97" t="s">
        <v>54</v>
      </c>
      <c r="F97" s="10">
        <v>0.25</v>
      </c>
      <c r="G97" s="10">
        <v>2.5000000000000001E-2</v>
      </c>
      <c r="Q97" t="s">
        <v>54</v>
      </c>
      <c r="R97" s="10">
        <v>0.2</v>
      </c>
      <c r="S97" s="10">
        <v>0.4</v>
      </c>
    </row>
    <row r="98" spans="2:19" x14ac:dyDescent="0.3">
      <c r="B98" s="10">
        <v>95</v>
      </c>
      <c r="C98" s="10">
        <v>1010307002</v>
      </c>
      <c r="D98" s="10" t="s">
        <v>51</v>
      </c>
      <c r="E98" t="s">
        <v>54</v>
      </c>
      <c r="F98" s="10">
        <v>0.3</v>
      </c>
      <c r="G98" s="10">
        <v>0.03</v>
      </c>
      <c r="Q98" t="s">
        <v>54</v>
      </c>
      <c r="R98" s="10">
        <v>0.25</v>
      </c>
      <c r="S98" s="10">
        <v>0.5</v>
      </c>
    </row>
    <row r="99" spans="2:19" x14ac:dyDescent="0.3">
      <c r="B99" s="10">
        <v>96</v>
      </c>
      <c r="C99" s="10">
        <v>1010307002</v>
      </c>
      <c r="D99" s="10" t="s">
        <v>21</v>
      </c>
      <c r="E99" t="s">
        <v>54</v>
      </c>
      <c r="F99" s="10">
        <v>0.35</v>
      </c>
      <c r="G99" s="10">
        <v>3.5000000000000003E-2</v>
      </c>
      <c r="Q99" t="s">
        <v>54</v>
      </c>
      <c r="R99" s="10">
        <v>0.3</v>
      </c>
      <c r="S99" s="10">
        <v>0.6</v>
      </c>
    </row>
    <row r="100" spans="2:19" x14ac:dyDescent="0.3">
      <c r="B100" s="10">
        <v>97</v>
      </c>
      <c r="C100" s="10">
        <v>1010408001</v>
      </c>
      <c r="D100" s="10" t="s">
        <v>42</v>
      </c>
      <c r="E100" t="s">
        <v>44</v>
      </c>
      <c r="F100" s="10">
        <v>0.1</v>
      </c>
      <c r="G100" s="10">
        <v>0.01</v>
      </c>
      <c r="Q100" t="s">
        <v>44</v>
      </c>
      <c r="R100" s="10">
        <v>0.05</v>
      </c>
      <c r="S100" s="10">
        <v>0.1</v>
      </c>
    </row>
    <row r="101" spans="2:19" x14ac:dyDescent="0.3">
      <c r="B101" s="10">
        <v>98</v>
      </c>
      <c r="C101" s="10">
        <v>1010408001</v>
      </c>
      <c r="D101" s="10" t="s">
        <v>45</v>
      </c>
      <c r="E101" t="s">
        <v>44</v>
      </c>
      <c r="F101" s="10">
        <v>0.15</v>
      </c>
      <c r="G101" s="10">
        <v>1.4999999999999999E-2</v>
      </c>
      <c r="Q101" t="s">
        <v>44</v>
      </c>
      <c r="R101" s="10">
        <v>0.1</v>
      </c>
      <c r="S101" s="10">
        <v>0.2</v>
      </c>
    </row>
    <row r="102" spans="2:19" x14ac:dyDescent="0.3">
      <c r="B102" s="10">
        <v>99</v>
      </c>
      <c r="C102" s="10">
        <v>1010408001</v>
      </c>
      <c r="D102" s="10" t="s">
        <v>47</v>
      </c>
      <c r="E102" t="s">
        <v>44</v>
      </c>
      <c r="F102" s="10">
        <v>0.2</v>
      </c>
      <c r="G102" s="10">
        <v>0.02</v>
      </c>
      <c r="Q102" t="s">
        <v>44</v>
      </c>
      <c r="R102" s="10">
        <v>0.15</v>
      </c>
      <c r="S102" s="10">
        <v>0.3</v>
      </c>
    </row>
    <row r="103" spans="2:19" x14ac:dyDescent="0.3">
      <c r="B103" s="10">
        <v>100</v>
      </c>
      <c r="C103" s="10">
        <v>1010408001</v>
      </c>
      <c r="D103" s="10" t="s">
        <v>49</v>
      </c>
      <c r="E103" t="s">
        <v>44</v>
      </c>
      <c r="F103" s="10">
        <v>0.25</v>
      </c>
      <c r="G103" s="10">
        <v>2.5000000000000001E-2</v>
      </c>
      <c r="Q103" t="s">
        <v>44</v>
      </c>
      <c r="R103" s="10">
        <v>0.2</v>
      </c>
      <c r="S103" s="10">
        <v>0.4</v>
      </c>
    </row>
    <row r="104" spans="2:19" x14ac:dyDescent="0.3">
      <c r="B104" s="10">
        <v>101</v>
      </c>
      <c r="C104" s="10">
        <v>1010408001</v>
      </c>
      <c r="D104" s="10" t="s">
        <v>51</v>
      </c>
      <c r="E104" t="s">
        <v>44</v>
      </c>
      <c r="F104" s="10">
        <v>0.3</v>
      </c>
      <c r="G104" s="10">
        <v>0.03</v>
      </c>
      <c r="Q104" t="s">
        <v>44</v>
      </c>
      <c r="R104" s="10">
        <v>0.25</v>
      </c>
      <c r="S104" s="10">
        <v>0.5</v>
      </c>
    </row>
    <row r="105" spans="2:19" x14ac:dyDescent="0.3">
      <c r="B105" s="10">
        <v>102</v>
      </c>
      <c r="C105" s="10">
        <v>1010408001</v>
      </c>
      <c r="D105" s="10" t="s">
        <v>21</v>
      </c>
      <c r="E105" t="s">
        <v>44</v>
      </c>
      <c r="F105" s="10">
        <v>0.35</v>
      </c>
      <c r="G105" s="10">
        <v>3.5000000000000003E-2</v>
      </c>
      <c r="Q105" t="s">
        <v>44</v>
      </c>
      <c r="R105" s="10">
        <v>0.3</v>
      </c>
      <c r="S105" s="10">
        <v>0.6</v>
      </c>
    </row>
    <row r="106" spans="2:19" x14ac:dyDescent="0.3">
      <c r="B106" s="10">
        <v>103</v>
      </c>
      <c r="C106" s="10">
        <v>1010408002</v>
      </c>
      <c r="D106" s="10" t="s">
        <v>42</v>
      </c>
      <c r="E106" t="s">
        <v>54</v>
      </c>
      <c r="F106" s="10">
        <v>0.1</v>
      </c>
      <c r="G106" s="10">
        <v>0.01</v>
      </c>
      <c r="Q106" t="s">
        <v>54</v>
      </c>
      <c r="R106" s="10">
        <v>0.05</v>
      </c>
      <c r="S106" s="10">
        <v>0.1</v>
      </c>
    </row>
    <row r="107" spans="2:19" x14ac:dyDescent="0.3">
      <c r="B107" s="10">
        <v>104</v>
      </c>
      <c r="C107" s="10">
        <v>1010408002</v>
      </c>
      <c r="D107" s="10" t="s">
        <v>45</v>
      </c>
      <c r="E107" t="s">
        <v>54</v>
      </c>
      <c r="F107" s="10">
        <v>0.15</v>
      </c>
      <c r="G107" s="10">
        <v>1.4999999999999999E-2</v>
      </c>
      <c r="Q107" t="s">
        <v>54</v>
      </c>
      <c r="R107" s="10">
        <v>0.1</v>
      </c>
      <c r="S107" s="10">
        <v>0.2</v>
      </c>
    </row>
    <row r="108" spans="2:19" x14ac:dyDescent="0.3">
      <c r="B108" s="10">
        <v>105</v>
      </c>
      <c r="C108" s="10">
        <v>1010408002</v>
      </c>
      <c r="D108" s="10" t="s">
        <v>47</v>
      </c>
      <c r="E108" t="s">
        <v>54</v>
      </c>
      <c r="F108" s="10">
        <v>0.2</v>
      </c>
      <c r="G108" s="10">
        <v>0.02</v>
      </c>
      <c r="Q108" t="s">
        <v>54</v>
      </c>
      <c r="R108" s="10">
        <v>0.15</v>
      </c>
      <c r="S108" s="10">
        <v>0.3</v>
      </c>
    </row>
    <row r="109" spans="2:19" x14ac:dyDescent="0.3">
      <c r="B109" s="10">
        <v>106</v>
      </c>
      <c r="C109" s="10">
        <v>1010408002</v>
      </c>
      <c r="D109" s="10" t="s">
        <v>49</v>
      </c>
      <c r="E109" t="s">
        <v>54</v>
      </c>
      <c r="F109" s="10">
        <v>0.25</v>
      </c>
      <c r="G109" s="10">
        <v>2.5000000000000001E-2</v>
      </c>
      <c r="Q109" t="s">
        <v>54</v>
      </c>
      <c r="R109" s="10">
        <v>0.2</v>
      </c>
      <c r="S109" s="10">
        <v>0.4</v>
      </c>
    </row>
    <row r="110" spans="2:19" x14ac:dyDescent="0.3">
      <c r="B110" s="10">
        <v>107</v>
      </c>
      <c r="C110" s="10">
        <v>1010408002</v>
      </c>
      <c r="D110" s="10" t="s">
        <v>51</v>
      </c>
      <c r="E110" t="s">
        <v>54</v>
      </c>
      <c r="F110" s="10">
        <v>0.3</v>
      </c>
      <c r="G110" s="10">
        <v>0.03</v>
      </c>
      <c r="Q110" t="s">
        <v>54</v>
      </c>
      <c r="R110" s="10">
        <v>0.25</v>
      </c>
      <c r="S110" s="10">
        <v>0.5</v>
      </c>
    </row>
    <row r="111" spans="2:19" x14ac:dyDescent="0.3">
      <c r="B111" s="10">
        <v>108</v>
      </c>
      <c r="C111" s="10">
        <v>1010408002</v>
      </c>
      <c r="D111" s="10" t="s">
        <v>21</v>
      </c>
      <c r="E111" t="s">
        <v>54</v>
      </c>
      <c r="F111" s="10">
        <v>0.35</v>
      </c>
      <c r="G111" s="10">
        <v>3.5000000000000003E-2</v>
      </c>
      <c r="Q111" t="s">
        <v>54</v>
      </c>
      <c r="R111" s="10">
        <v>0.3</v>
      </c>
      <c r="S111" s="10">
        <v>0.6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F16" sqref="F16"/>
    </sheetView>
  </sheetViews>
  <sheetFormatPr defaultRowHeight="16.5" x14ac:dyDescent="0.3"/>
  <cols>
    <col min="1" max="1" width="11.625" style="8" bestFit="1" customWidth="1"/>
    <col min="2" max="2" width="12.75" style="10" bestFit="1" customWidth="1"/>
    <col min="3" max="3" width="12.875" style="10" bestFit="1" customWidth="1"/>
    <col min="4" max="4" width="16.375" style="10" bestFit="1" customWidth="1"/>
    <col min="5" max="5" width="13.5" style="10" bestFit="1" customWidth="1"/>
    <col min="6" max="6" width="8.875" style="10" bestFit="1" customWidth="1"/>
    <col min="7" max="7" width="9" style="10" customWidth="1"/>
    <col min="8" max="16384" width="9" style="10"/>
  </cols>
  <sheetData>
    <row r="1" spans="1:6" s="2" customFormat="1" x14ac:dyDescent="0.3">
      <c r="A1" s="21" t="s">
        <v>10</v>
      </c>
      <c r="B1" s="20" t="s">
        <v>58</v>
      </c>
      <c r="C1" s="20"/>
      <c r="D1" s="11"/>
    </row>
    <row r="2" spans="1:6" x14ac:dyDescent="0.3">
      <c r="A2" s="5"/>
      <c r="B2" s="6" t="s">
        <v>12</v>
      </c>
      <c r="C2" s="7" t="s">
        <v>59</v>
      </c>
      <c r="D2" s="7" t="s">
        <v>60</v>
      </c>
      <c r="E2" s="10" t="s">
        <v>61</v>
      </c>
      <c r="F2" s="10" t="s">
        <v>62</v>
      </c>
    </row>
    <row r="3" spans="1:6" x14ac:dyDescent="0.3">
      <c r="A3" s="5"/>
      <c r="B3" s="7" t="s">
        <v>16</v>
      </c>
      <c r="C3" s="7" t="s">
        <v>41</v>
      </c>
      <c r="D3" s="7" t="s">
        <v>41</v>
      </c>
      <c r="E3" s="10" t="s">
        <v>16</v>
      </c>
      <c r="F3" s="10" t="s">
        <v>41</v>
      </c>
    </row>
    <row r="4" spans="1:6" x14ac:dyDescent="0.3">
      <c r="A4" s="5"/>
      <c r="B4">
        <v>1</v>
      </c>
      <c r="C4">
        <v>1</v>
      </c>
      <c r="D4" s="10">
        <v>30</v>
      </c>
      <c r="E4" s="10">
        <v>500</v>
      </c>
      <c r="F4">
        <f>E4/SUM(E4:E8)</f>
        <v>0.5</v>
      </c>
    </row>
    <row r="5" spans="1:6" x14ac:dyDescent="0.3">
      <c r="A5" s="5"/>
      <c r="B5">
        <v>2</v>
      </c>
      <c r="C5">
        <v>31</v>
      </c>
      <c r="D5" s="10">
        <v>70</v>
      </c>
      <c r="E5" s="10">
        <v>350</v>
      </c>
      <c r="F5">
        <f>E5/SUM(E4:E8)</f>
        <v>0.35</v>
      </c>
    </row>
    <row r="6" spans="1:6" x14ac:dyDescent="0.3">
      <c r="A6" s="5"/>
      <c r="B6">
        <v>3</v>
      </c>
      <c r="C6">
        <v>71</v>
      </c>
      <c r="D6" s="10">
        <v>90</v>
      </c>
      <c r="E6" s="10">
        <v>120</v>
      </c>
      <c r="F6">
        <f>E6/SUM(E4:E8)</f>
        <v>0.12</v>
      </c>
    </row>
    <row r="7" spans="1:6" x14ac:dyDescent="0.3">
      <c r="B7">
        <v>4</v>
      </c>
      <c r="C7">
        <v>91</v>
      </c>
      <c r="D7" s="10">
        <v>99</v>
      </c>
      <c r="E7" s="10">
        <v>28</v>
      </c>
      <c r="F7">
        <f>E7/SUM(E4:E8)</f>
        <v>2.8000000000000001E-2</v>
      </c>
    </row>
    <row r="8" spans="1:6" x14ac:dyDescent="0.3">
      <c r="B8">
        <v>5</v>
      </c>
      <c r="C8">
        <v>100</v>
      </c>
      <c r="D8" s="10">
        <v>100</v>
      </c>
      <c r="E8" s="10">
        <v>2</v>
      </c>
      <c r="F8">
        <f>E8/SUM(E4:E8)</f>
        <v>2E-3</v>
      </c>
    </row>
    <row r="9" spans="1:6" x14ac:dyDescent="0.3">
      <c r="A9" s="5"/>
    </row>
    <row r="10" spans="1:6" x14ac:dyDescent="0.3">
      <c r="A10" s="5"/>
    </row>
    <row r="14" spans="1:6" x14ac:dyDescent="0.3">
      <c r="A14" s="5"/>
    </row>
    <row r="18" spans="1:1" x14ac:dyDescent="0.3">
      <c r="A18" s="5"/>
    </row>
    <row r="22" spans="1:1" x14ac:dyDescent="0.3">
      <c r="A22" s="5"/>
    </row>
    <row r="26" spans="1:1" x14ac:dyDescent="0.3">
      <c r="A26" s="5"/>
    </row>
    <row r="30" spans="1:1" x14ac:dyDescent="0.3">
      <c r="A30" s="5"/>
    </row>
    <row r="34" spans="1:1" x14ac:dyDescent="0.3">
      <c r="A34" s="5"/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F26" sqref="F26"/>
    </sheetView>
  </sheetViews>
  <sheetFormatPr defaultRowHeight="16.5" x14ac:dyDescent="0.3"/>
  <cols>
    <col min="1" max="1" width="11.625" style="8" bestFit="1" customWidth="1"/>
    <col min="2" max="2" width="18.5" style="10" bestFit="1" customWidth="1"/>
    <col min="3" max="3" width="25.125" style="10" bestFit="1" customWidth="1"/>
    <col min="4" max="4" width="8.75" style="10" customWidth="1"/>
    <col min="5" max="5" width="9.875" style="10" customWidth="1"/>
    <col min="6" max="6" width="9.625" style="10" customWidth="1"/>
    <col min="7" max="7" width="9.25" style="10" customWidth="1"/>
    <col min="8" max="8" width="10.25" style="10" bestFit="1" customWidth="1"/>
    <col min="9" max="9" width="9.625" style="10" customWidth="1"/>
    <col min="10" max="10" width="9" style="10" customWidth="1"/>
    <col min="11" max="16384" width="9" style="10"/>
  </cols>
  <sheetData>
    <row r="1" spans="1:9" s="2" customFormat="1" x14ac:dyDescent="0.3">
      <c r="A1" s="21" t="s">
        <v>10</v>
      </c>
      <c r="B1" s="20" t="s">
        <v>63</v>
      </c>
      <c r="C1" s="20"/>
      <c r="D1" s="20"/>
      <c r="E1" s="20"/>
      <c r="F1" s="11"/>
    </row>
    <row r="2" spans="1:9" x14ac:dyDescent="0.3">
      <c r="A2" s="5"/>
      <c r="B2" s="10" t="s">
        <v>12</v>
      </c>
      <c r="C2" s="10" t="s">
        <v>64</v>
      </c>
      <c r="D2" s="10" t="s">
        <v>42</v>
      </c>
      <c r="E2" t="s">
        <v>45</v>
      </c>
      <c r="F2" s="10" t="s">
        <v>47</v>
      </c>
      <c r="G2" s="10" t="s">
        <v>49</v>
      </c>
      <c r="H2" s="10" t="s">
        <v>51</v>
      </c>
      <c r="I2" s="10" t="s">
        <v>21</v>
      </c>
    </row>
    <row r="3" spans="1:9" x14ac:dyDescent="0.3">
      <c r="A3" s="5"/>
      <c r="B3" s="10" t="s">
        <v>16</v>
      </c>
      <c r="C3" s="10" t="s">
        <v>20</v>
      </c>
      <c r="D3" s="10" t="s">
        <v>16</v>
      </c>
      <c r="E3" t="s">
        <v>16</v>
      </c>
      <c r="F3" s="10" t="s">
        <v>16</v>
      </c>
      <c r="G3" s="10" t="s">
        <v>16</v>
      </c>
      <c r="H3" s="10" t="s">
        <v>16</v>
      </c>
      <c r="I3" s="10" t="s">
        <v>16</v>
      </c>
    </row>
    <row r="4" spans="1:9" x14ac:dyDescent="0.3">
      <c r="A4" s="5"/>
      <c r="B4" s="10">
        <v>10001</v>
      </c>
      <c r="C4" s="10" t="s">
        <v>65</v>
      </c>
      <c r="D4" s="10">
        <v>800</v>
      </c>
      <c r="E4" s="10">
        <v>180</v>
      </c>
      <c r="F4" s="10">
        <v>20</v>
      </c>
      <c r="G4" s="10">
        <v>0</v>
      </c>
      <c r="H4" s="10">
        <v>0</v>
      </c>
      <c r="I4" s="10">
        <v>0</v>
      </c>
    </row>
    <row r="5" spans="1:9" x14ac:dyDescent="0.3">
      <c r="A5" s="5"/>
      <c r="B5" s="10">
        <v>10002</v>
      </c>
      <c r="C5" s="10" t="s">
        <v>66</v>
      </c>
      <c r="D5" s="10">
        <v>400</v>
      </c>
      <c r="E5" s="10">
        <v>400</v>
      </c>
      <c r="F5" s="10">
        <v>160</v>
      </c>
      <c r="G5" s="10">
        <v>40</v>
      </c>
      <c r="H5" s="10">
        <v>0</v>
      </c>
      <c r="I5" s="10">
        <v>0</v>
      </c>
    </row>
    <row r="6" spans="1:9" x14ac:dyDescent="0.3">
      <c r="A6" s="5"/>
      <c r="B6" s="10">
        <v>10003</v>
      </c>
      <c r="C6" s="10" t="s">
        <v>67</v>
      </c>
      <c r="D6" s="10">
        <v>100</v>
      </c>
      <c r="E6" s="10">
        <v>350</v>
      </c>
      <c r="F6" s="10">
        <v>350</v>
      </c>
      <c r="G6" s="10">
        <v>180</v>
      </c>
      <c r="H6" s="10">
        <v>20</v>
      </c>
      <c r="I6" s="10">
        <v>0</v>
      </c>
    </row>
    <row r="7" spans="1:9" x14ac:dyDescent="0.3">
      <c r="B7" s="10">
        <v>20001</v>
      </c>
      <c r="C7" s="10" t="s">
        <v>68</v>
      </c>
      <c r="D7" s="10">
        <v>400</v>
      </c>
      <c r="E7" s="10">
        <v>400</v>
      </c>
      <c r="F7" s="10">
        <v>160</v>
      </c>
      <c r="G7" s="10">
        <v>40</v>
      </c>
      <c r="H7" s="10">
        <v>0</v>
      </c>
      <c r="I7" s="10">
        <v>0</v>
      </c>
    </row>
    <row r="8" spans="1:9" x14ac:dyDescent="0.3">
      <c r="B8" s="10">
        <v>20002</v>
      </c>
      <c r="C8" s="10" t="s">
        <v>69</v>
      </c>
      <c r="D8" s="10">
        <v>100</v>
      </c>
      <c r="E8" s="10">
        <v>300</v>
      </c>
      <c r="F8" s="10">
        <v>400</v>
      </c>
      <c r="G8" s="10">
        <v>180</v>
      </c>
      <c r="H8" s="10">
        <v>20</v>
      </c>
      <c r="I8" s="10">
        <v>0</v>
      </c>
    </row>
    <row r="9" spans="1:9" x14ac:dyDescent="0.3">
      <c r="A9" s="5"/>
      <c r="B9" s="10">
        <v>20003</v>
      </c>
      <c r="C9" s="10" t="s">
        <v>70</v>
      </c>
      <c r="D9" s="10">
        <v>0</v>
      </c>
      <c r="E9" s="10">
        <v>50</v>
      </c>
      <c r="F9" s="10">
        <v>250</v>
      </c>
      <c r="G9" s="10">
        <v>450</v>
      </c>
      <c r="H9" s="10">
        <v>230</v>
      </c>
      <c r="I9" s="10">
        <v>20</v>
      </c>
    </row>
    <row r="10" spans="1:9" x14ac:dyDescent="0.3">
      <c r="A10" s="5"/>
      <c r="B10" s="10">
        <v>30001</v>
      </c>
      <c r="C10" s="10" t="s">
        <v>71</v>
      </c>
      <c r="D10" s="10">
        <v>0</v>
      </c>
      <c r="E10" s="10">
        <v>0</v>
      </c>
      <c r="F10" s="10">
        <v>100</v>
      </c>
      <c r="G10" s="10">
        <v>300</v>
      </c>
      <c r="H10" s="10">
        <v>500</v>
      </c>
      <c r="I10" s="10">
        <v>100</v>
      </c>
    </row>
    <row r="11" spans="1:9" x14ac:dyDescent="0.3">
      <c r="B11">
        <v>40001</v>
      </c>
      <c r="C11" t="s">
        <v>72</v>
      </c>
      <c r="D11">
        <v>700</v>
      </c>
      <c r="E11">
        <v>250</v>
      </c>
      <c r="F11" s="10">
        <v>50</v>
      </c>
      <c r="G11">
        <v>0</v>
      </c>
      <c r="H11">
        <v>0</v>
      </c>
      <c r="I11">
        <v>0</v>
      </c>
    </row>
    <row r="12" spans="1:9" x14ac:dyDescent="0.3">
      <c r="B12">
        <v>40002</v>
      </c>
      <c r="C12" t="s">
        <v>73</v>
      </c>
      <c r="D12">
        <v>0</v>
      </c>
      <c r="E12">
        <v>700</v>
      </c>
      <c r="F12" s="10">
        <v>250</v>
      </c>
      <c r="G12">
        <v>50</v>
      </c>
      <c r="H12">
        <v>0</v>
      </c>
      <c r="I12">
        <v>0</v>
      </c>
    </row>
    <row r="13" spans="1:9" x14ac:dyDescent="0.3">
      <c r="B13">
        <v>40003</v>
      </c>
      <c r="C13" t="s">
        <v>74</v>
      </c>
      <c r="D13">
        <v>0</v>
      </c>
      <c r="E13">
        <v>0</v>
      </c>
      <c r="F13" s="10">
        <v>700</v>
      </c>
      <c r="G13">
        <v>250</v>
      </c>
      <c r="H13">
        <v>50</v>
      </c>
      <c r="I13">
        <v>0</v>
      </c>
    </row>
    <row r="14" spans="1:9" x14ac:dyDescent="0.3">
      <c r="A14" s="5"/>
    </row>
    <row r="18" spans="1:1" x14ac:dyDescent="0.3">
      <c r="A18" s="5"/>
    </row>
    <row r="22" spans="1:1" x14ac:dyDescent="0.3">
      <c r="A22" s="5"/>
    </row>
    <row r="26" spans="1:1" x14ac:dyDescent="0.3">
      <c r="A26" s="5"/>
    </row>
    <row r="30" spans="1:1" x14ac:dyDescent="0.3">
      <c r="A30" s="5"/>
    </row>
    <row r="34" spans="1:1" x14ac:dyDescent="0.3">
      <c r="A34" s="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#Enum</vt:lpstr>
      <vt:lpstr>#Equipment</vt:lpstr>
      <vt:lpstr>#EquipOption</vt:lpstr>
      <vt:lpstr>#EquipQuality</vt:lpstr>
      <vt:lpstr>#EquipGradeWeight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dcterms:created xsi:type="dcterms:W3CDTF">2015-06-05T18:19:34Z</dcterms:created>
  <dcterms:modified xsi:type="dcterms:W3CDTF">2026-10-25T08:40:36Z</dcterms:modified>
</cp:coreProperties>
</file>